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  <sheet state="visible" name="Pivot Table 5" sheetId="2" r:id="rId6"/>
    <sheet state="visible" name="Pivot Table 4" sheetId="3" r:id="rId7"/>
    <sheet state="visible" name="Pivot Table 3" sheetId="4" r:id="rId8"/>
    <sheet state="visible" name="Copy of Sayfa1" sheetId="5" r:id="rId9"/>
    <sheet state="visible" name="Sheet2" sheetId="6" r:id="rId10"/>
    <sheet state="visible" name="Consolidated for Paper" sheetId="7" r:id="rId11"/>
    <sheet state="visible" name="Instance Info Consolidated for " sheetId="8" r:id="rId12"/>
  </sheets>
  <definedNames>
    <definedName hidden="1" localSheetId="0" name="_xlnm._FilterDatabase">Sayfa1!$A$1:$W$56</definedName>
    <definedName hidden="1" localSheetId="4" name="_xlnm._FilterDatabase">'Copy of Sayfa1'!$A$1:$R$67</definedName>
    <definedName hidden="1" localSheetId="6" name="_xlnm._FilterDatabase">'Consolidated for Paper'!$V$1:$V$994</definedName>
  </definedNames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<sst xmlns="http://schemas.openxmlformats.org/spreadsheetml/2006/main" count="1016" uniqueCount="79">
  <si>
    <t>instance</t>
  </si>
  <si>
    <t>obj1</t>
  </si>
  <si>
    <t>subnetwork1</t>
  </si>
  <si>
    <t>obj2</t>
  </si>
  <si>
    <t>subnetwork2</t>
  </si>
  <si>
    <t>TumorSubnetwork</t>
  </si>
  <si>
    <t>hausdorff_distance</t>
  </si>
  <si>
    <t>igd_distance</t>
  </si>
  <si>
    <t>diagonal_distance</t>
  </si>
  <si>
    <t>haus/diag</t>
  </si>
  <si>
    <t>igd/diag</t>
  </si>
  <si>
    <t>ExecutionTime</t>
  </si>
  <si>
    <t>MeanExecutionTime</t>
  </si>
  <si>
    <t>nbIterations</t>
  </si>
  <si>
    <t>MNRPExecutionTime</t>
  </si>
  <si>
    <t>MNRPMeanExecutionTime</t>
  </si>
  <si>
    <t>MNRPnbIterations</t>
  </si>
  <si>
    <t>MNRPTolerance</t>
  </si>
  <si>
    <t>TumorPct</t>
  </si>
  <si>
    <t>ResectPct</t>
  </si>
  <si>
    <t>Tolerance</t>
  </si>
  <si>
    <t>tradeOffTumorLoc</t>
  </si>
  <si>
    <t>tradeOff</t>
  </si>
  <si>
    <t>ge</t>
  </si>
  <si>
    <t>overall</t>
  </si>
  <si>
    <t>Visual_Network</t>
  </si>
  <si>
    <t>modularity</t>
  </si>
  <si>
    <t>Multiple_Demand_Extended_Network</t>
  </si>
  <si>
    <t>AVERAGE of nbIterations</t>
  </si>
  <si>
    <t>AVERAGE of diagonal_distance</t>
  </si>
  <si>
    <t>AVERAGE of hausdorff_distance</t>
  </si>
  <si>
    <t>AVERAGE of igd_distance</t>
  </si>
  <si>
    <t>AVERAGE of ExecutionTime</t>
  </si>
  <si>
    <t>AVERAGE of MeanExecutionTime</t>
  </si>
  <si>
    <t>AVERAGE of MNRPExecutionTime</t>
  </si>
  <si>
    <t>AVERAGE of MNRPMeanExecutionTime</t>
  </si>
  <si>
    <t>AVERAGE of MNRPnbIterations</t>
  </si>
  <si>
    <t>geoverallgeMultiple_Demand_Extended_Network</t>
  </si>
  <si>
    <t>geoverallgeMultiple_Demand_Extended_Network Total</t>
  </si>
  <si>
    <t>geoverallgeVisual_Network</t>
  </si>
  <si>
    <t>geoverallgeVisual_Network Total</t>
  </si>
  <si>
    <t>geoverallmodularityoverall</t>
  </si>
  <si>
    <t>geoverallmodularityoverall Total</t>
  </si>
  <si>
    <t>Grand Total</t>
  </si>
  <si>
    <t>STDEV of MeanExecutionTime</t>
  </si>
  <si>
    <t>STDEV of MNRPMeanExecutionTime</t>
  </si>
  <si>
    <t>overall Total</t>
  </si>
  <si>
    <t xml:space="preserve"> Total</t>
  </si>
  <si>
    <t>Multiple_Demand_Extended_Network Total</t>
  </si>
  <si>
    <t>Visual_Network Total</t>
  </si>
  <si>
    <t>Hausdorff ve igd'yi evaluate etmek için: diagonal mesafeye kıyasla çok küçükler, diagonal mesafe paretonun genel büyüklüğü ile noktaların yakınlığını kıyaslamamızı sağlıyor</t>
  </si>
  <si>
    <t>Visual ve Multiple Demand Network'lerinde tradeOff daha belirgin: iterasyon sayısı ve diagonal distance artıyor</t>
  </si>
  <si>
    <t>subnetworklere göre İterasyon başına düşen süreler pek değişmiyor, individual olarak çözülen problemlerin zorluğu aynı gibi</t>
  </si>
  <si>
    <t>MNRP Avg iterasyon sayısı daha düşük, buna rağmen bizim metodumuz totalde daha hızlı (averaj iterasyon süresi çok daha düşük)</t>
  </si>
  <si>
    <t>COUNTA of igd_distance</t>
  </si>
  <si>
    <t>AVERAGE of igd/diag</t>
  </si>
  <si>
    <t>AVERAGE of haus/diag</t>
  </si>
  <si>
    <t>STDEV of hausdorff_distance</t>
  </si>
  <si>
    <t>geoverallgeMultiple_Demand_Extended_NetworkMultiple_Demand_Extended_Network</t>
  </si>
  <si>
    <t>geoverallgeVisual_NetworkMultiple_Demand_Extended_Network</t>
  </si>
  <si>
    <t>geoverallgeVisual_NetworkVisual_Network</t>
  </si>
  <si>
    <t>geoverallmodularityoverallMultiple_Demand_Extended_Network</t>
  </si>
  <si>
    <t>geoverallmodularityoverallVisual_Network</t>
  </si>
  <si>
    <t>Mean</t>
  </si>
  <si>
    <t>Std</t>
  </si>
  <si>
    <t>Diag</t>
  </si>
  <si>
    <t>paper experiment instance id</t>
  </si>
  <si>
    <t>hausdorff/diag</t>
  </si>
  <si>
    <t>ID</t>
  </si>
  <si>
    <t>Tumor Location</t>
  </si>
  <si>
    <t>Volume (Voxels)</t>
  </si>
  <si>
    <t>% of Brain</t>
  </si>
  <si>
    <t>Mean Density</t>
  </si>
  <si>
    <t># ROIs</t>
  </si>
  <si>
    <t># Core ROIs</t>
  </si>
  <si>
    <t># Nodes</t>
  </si>
  <si>
    <t>Visual Subnetwork</t>
  </si>
  <si>
    <t>Overall</t>
  </si>
  <si>
    <t>MD Subnetwork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</si>
</sst>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0"/>
    <numFmt numFmtId="166" formatCode="0.000"/>
  </numFmts>
  <fonts count="4">
    <font>
      <sz val="10.0"/>
      <color rgb="FF000000"/>
      <name val="Arial"/>
      <scheme val="minor"/>
    </font>
    <font>
      <b/>
      <sz val="8.0"/>
      <color rgb="FF000000"/>
      <name val="Calibri"/>
    </font>
    <font>
      <color theme="1"/>
      <name val="Arial"/>
      <scheme val="minor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164" xfId="0" applyAlignment="1" applyBorder="1" applyFont="1" applyNumberFormat="1">
      <alignment horizontal="center" readingOrder="0"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3" numFmtId="165" xfId="0" applyAlignment="1" applyBorder="1" applyFont="1" applyNumberFormat="1">
      <alignment readingOrder="0" vertical="bottom"/>
    </xf>
    <xf borderId="3" fillId="0" fontId="3" numFmtId="166" xfId="0" applyAlignment="1" applyBorder="1" applyFont="1" applyNumberFormat="1">
      <alignment readingOrder="0" vertical="bottom"/>
    </xf>
    <xf borderId="3" fillId="0" fontId="3" numFmtId="164" xfId="0" applyAlignment="1" applyBorder="1" applyFont="1" applyNumberFormat="1">
      <alignment readingOrder="0" vertical="bottom"/>
    </xf>
    <xf borderId="0" fillId="0" fontId="2" numFmtId="164" xfId="0" applyFont="1" applyNumberFormat="1"/>
    <xf borderId="3" fillId="0" fontId="3" numFmtId="1" xfId="0" applyAlignment="1" applyBorder="1" applyFont="1" applyNumberFormat="1">
      <alignment readingOrder="0" vertical="bottom"/>
    </xf>
    <xf borderId="0" fillId="0" fontId="2" numFmtId="0" xfId="0" applyFont="1"/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readingOrder="0" vertical="bottom"/>
    </xf>
    <xf borderId="5" fillId="0" fontId="2" numFmtId="166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bottom"/>
    </xf>
    <xf borderId="5" fillId="0" fontId="3" numFmtId="1" xfId="0" applyAlignment="1" applyBorder="1" applyFont="1" applyNumberFormat="1">
      <alignment readingOrder="0" vertical="bottom"/>
    </xf>
    <xf borderId="5" fillId="0" fontId="2" numFmtId="1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readingOrder="0" vertical="bottom"/>
    </xf>
    <xf borderId="5" fillId="0" fontId="3" numFmtId="164" xfId="0" applyAlignment="1" applyBorder="1" applyFont="1" applyNumberFormat="1">
      <alignment readingOrder="0" vertical="bottom"/>
    </xf>
    <xf borderId="5" fillId="0" fontId="3" numFmtId="2" xfId="0" applyAlignment="1" applyBorder="1" applyFont="1" applyNumberFormat="1">
      <alignment readingOrder="0" vertical="bottom"/>
    </xf>
    <xf borderId="5" fillId="0" fontId="2" numFmtId="2" xfId="0" applyAlignment="1" applyBorder="1" applyFont="1" applyNumberFormat="1">
      <alignment vertical="bottom"/>
    </xf>
    <xf borderId="0" fillId="0" fontId="2" numFmtId="166" xfId="0" applyFont="1" applyNumberFormat="1"/>
    <xf borderId="0" fillId="0" fontId="2" numFmtId="1" xfId="0" applyFont="1" applyNumberFormat="1"/>
    <xf borderId="0" fillId="0" fontId="2" numFmtId="165" xfId="0" applyFont="1" applyNumberFormat="1"/>
    <xf borderId="0" fillId="3" fontId="2" numFmtId="166" xfId="0" applyFill="1" applyFont="1" applyNumberFormat="1"/>
    <xf borderId="0" fillId="3" fontId="2" numFmtId="1" xfId="0" applyFont="1" applyNumberFormat="1"/>
    <xf borderId="0" fillId="3" fontId="2" numFmtId="164" xfId="0" applyFont="1" applyNumberFormat="1"/>
    <xf borderId="0" fillId="3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Font="1"/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4" fontId="2" numFmtId="166" xfId="0" applyAlignment="1" applyFill="1" applyFont="1" applyNumberFormat="1">
      <alignment readingOrder="0"/>
    </xf>
    <xf borderId="5" fillId="5" fontId="3" numFmtId="164" xfId="0" applyAlignment="1" applyBorder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56" sheet="Sayfa1"/>
  </cacheSource>
  <cacheFields>
    <cacheField name="instance" numFmtId="0">
      <sharedItems containsSemiMixedTypes="0" containsString="0" containsNumber="1" containsInteger="1">
        <n v="94.0"/>
        <n v="95.0"/>
        <n v="96.0"/>
        <n v="98.0"/>
        <n v="99.0"/>
        <n v="100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</sharedItems>
    </cacheField>
    <cacheField name="obj1" numFmtId="0">
      <sharedItems>
        <s v="ge"/>
      </sharedItems>
    </cacheField>
    <cacheField name="subnetwork1" numFmtId="0">
      <sharedItems>
        <s v="overall"/>
      </sharedItems>
    </cacheField>
    <cacheField name="obj2" numFmtId="0">
      <sharedItems>
        <s v="ge"/>
        <s v="modularity"/>
      </sharedItems>
    </cacheField>
    <cacheField name="subnetwork2" numFmtId="165">
      <sharedItems>
        <s v="Visual_Network"/>
        <s v="overall"/>
        <s v="Multiple_Demand_Extended_Network"/>
      </sharedItems>
    </cacheField>
    <cacheField name="TumorSubnetwork" numFmtId="0">
      <sharedItems containsBlank="1">
        <s v="Visual_Network"/>
        <m/>
        <s v="Multiple_Demand_Extended_Network"/>
      </sharedItems>
    </cacheField>
    <cacheField name="hausdorff_distance" numFmtId="166">
      <sharedItems containsString="0" containsBlank="1" containsNumber="1">
        <n v="0.00344983097440377"/>
        <m/>
        <n v="2.14607077582284E-10"/>
        <n v="0.0231078073465341"/>
        <n v="0.0213990498610457"/>
        <n v="0.0177216085738507"/>
        <n v="1.20795149012364E-10"/>
        <n v="0.11090014766819"/>
        <n v="2.15043349129198E-10"/>
        <n v="1.67140650415392E-10"/>
        <n v="0.0407131586792815"/>
        <n v="1.70708074892755E-10"/>
        <n v="0.0352740645115972"/>
        <n v="1.56206336236025E-10"/>
        <n v="0.0110271529344885"/>
        <n v="0.21568763044814"/>
        <n v="1.12820835678416E-10"/>
        <n v="1.12831002374819E-10"/>
        <n v="0.0350272643249667"/>
        <n v="0.113008854336641"/>
        <n v="1.26790787578461E-10"/>
        <n v="0.00616344492277676"/>
        <n v="0.00521522260255836"/>
        <n v="0.0438944907266148"/>
        <n v="0.0391547528441549"/>
        <n v="0.0188339316618453"/>
        <n v="0.140306405328417"/>
        <n v="1.89820363471069E-10"/>
        <n v="0.597424316664714"/>
        <n v="0.0334378967589117"/>
        <n v="0.24420102373593"/>
        <n v="0.00944197893542764"/>
        <n v="0.013914495527672"/>
        <n v="3.20054466673838"/>
      </sharedItems>
    </cacheField>
    <cacheField name="igd_distance" numFmtId="166">
      <sharedItems containsString="0" containsBlank="1" containsNumber="1">
        <n v="0.00115017844436747"/>
        <m/>
        <n v="2.04128426480271E-10"/>
        <n v="0.00770260258775814"/>
        <n v="0.0213990498610457"/>
        <n v="0.00590720295539106"/>
        <n v="1.18243627662033E-10"/>
        <n v="0.0369667159671692"/>
        <n v="2.15043349129198E-10"/>
        <n v="1.67140650415392E-10"/>
        <n v="0.020356579423217"/>
        <n v="1.70708074892755E-10"/>
        <n v="0.0176370323402002"/>
        <n v="1.56206336236025E-10"/>
        <n v="0.00367571772272346"/>
        <n v="0.0539219077427275"/>
        <n v="1.12806496003716E-10"/>
        <n v="1.12831002374819E-10"/>
        <n v="0.0136480107483652"/>
        <n v="0.0713960912956585"/>
        <n v="1.25729511268894E-10"/>
        <n v="0.00284466694058489"/>
        <n v="0.00521522260255836"/>
        <n v="0.0355449951579251"/>
        <n v="0.0142080538677805"/>
        <n v="0.0188339316618453"/>
        <n v="0.0935376036092897"/>
        <n v="1.89820363471069E-10"/>
        <n v="0.199141438995383"/>
        <n v="0.0127497017529777"/>
        <n v="0.109144975041144"/>
        <n v="0.00236049481162315"/>
        <n v="0.00327156301421537"/>
        <n v="0.924688150259041"/>
      </sharedItems>
    </cacheField>
    <cacheField name="diagonal_distance" numFmtId="164">
      <sharedItems containsString="0" containsBlank="1" containsNumber="1">
        <n v="4.19348903861815"/>
        <m/>
        <n v="3.1347849157462"/>
        <n v="4.11110173918019"/>
        <n v="0.0"/>
        <n v="5.37616231626088"/>
        <n v="4.08489110127273"/>
        <n v="3.90016823668486"/>
        <n v="0.774899333388007"/>
        <n v="4.95173017301476"/>
        <n v="3.2427916175577"/>
        <n v="6.22331209610477"/>
        <n v="3.77178738783627"/>
        <n v="9.95965990665474"/>
        <n v="3.17451604170751"/>
        <n v="3.45563542098179"/>
        <n v="7.44960301843532"/>
        <n v="4.92589792666283"/>
        <n v="4.09423374415582"/>
        <n v="3.014358626007"/>
        <n v="5.27211956075563"/>
        <n v="7.14187547876329"/>
        <n v="3.54309802646484"/>
        <n v="0.81735595862571"/>
        <n v="11.7406243042787"/>
        <n v="13.7026593440977"/>
      </sharedItems>
    </cacheField>
    <cacheField name="haus/diag">
      <sharedItems containsMixedTypes="1" containsNumber="1">
        <n v="8.226636441955665E-4"/>
        <s v=""/>
        <n v="6.845990501750236E-11"/>
        <n v="0.005620830816787842"/>
        <n v="0.0032963306409572986"/>
        <n v="2.9571204229833165E-11"/>
        <n v="0.02843470869411906"/>
        <n v="0.0525399325113313"/>
        <n v="0.007123583733182558"/>
        <n v="0.003400512347072604"/>
        <n v="0.034658012826183165"/>
        <n v="2.99117696936616E-11"/>
        <n v="0.003516913695171715"/>
        <n v="0.0355987661904697"/>
        <n v="3.6691019778480604E-11"/>
        <n v="8.273521297073494E-4"/>
        <n v="0.008910962301720327"/>
        <n v="0.00956338970632663"/>
        <n v="0.04654602279831424"/>
        <n v="0.11331767229100694"/>
        <n v="0.004681949000418853"/>
        <n v="0.06892302214386767"/>
        <n v="0.01155185673485912"/>
        <n v="0.0011851580603427592"/>
        <n v="0.2335710599210792"/>
      </sharedItems>
    </cacheField>
    <cacheField name="igd/diag">
      <sharedItems containsMixedTypes="1" containsNumber="1">
        <n v="2.7427720301052226E-4"/>
        <s v=""/>
        <n v="6.511720324253269E-11"/>
        <n v="0.0018736103060524466"/>
        <n v="0.001098776898443706"/>
        <n v="2.8946580148780913E-11"/>
        <n v="0.009478236251313837"/>
        <n v="0.02626996636351998"/>
        <n v="0.0035617918836361494"/>
        <n v="0.0011335041397115171"/>
        <n v="0.008664503227546267"/>
        <n v="2.990796786889644E-11"/>
        <n v="0.001370328994792886"/>
        <n v="0.022490386048657655"/>
        <n v="3.638390511495934E-11"/>
        <n v="3.818548362302359E-4"/>
        <n v="0.007215942288517116"/>
        <n v="0.0034702595786235517"/>
        <n v="0.0310306818844562"/>
        <n v="0.03777255745065859"/>
        <n v="0.0017852035912540832"/>
        <n v="0.030804954936582557"/>
        <n v="0.002887964278858443"/>
        <n v="2.786532410395839E-4"/>
        <n v="0.06748238623164358"/>
      </sharedItems>
    </cacheField>
    <cacheField name="ExecutionTime" numFmtId="1">
      <sharedItems containsSemiMixedTypes="0" containsString="0" containsNumber="1">
        <n v="280.617321014404"/>
        <n v="121.765707015991"/>
        <n v="105.798405885696"/>
        <n v="466.695245027542"/>
        <n v="308.773392915726"/>
        <n v="89.9479510784149"/>
        <n v="1089.5257871151"/>
        <n v="30.4242787361145"/>
        <n v="185.210376977921"/>
        <n v="148.463907003403"/>
        <n v="293.895074129105"/>
        <n v="117.44479393959"/>
        <n v="269.419993162155"/>
        <n v="64.0269191265106"/>
        <n v="61.5981998443604"/>
        <n v="154.233332157135"/>
        <n v="137.902366161346"/>
        <n v="208.101317167282"/>
        <n v="84.1584680080414"/>
        <n v="51.5365128517151"/>
        <n v="173.889848709106"/>
        <n v="69.9387140274048"/>
        <n v="850.30070400238"/>
        <n v="118.781543970108"/>
        <n v="211.382291078568"/>
        <n v="61.644348859787"/>
        <n v="224.799131155014"/>
        <n v="36.5027871131897"/>
        <n v="33.8138461112976"/>
        <n v="345.820734024048"/>
        <n v="677.367917060852"/>
        <n v="38.3469800949097"/>
        <n v="637.230891704559"/>
        <n v="175.865284919739"/>
        <n v="326.810825824737"/>
        <n v="1412.14009070396"/>
        <n v="162.429749965668"/>
        <n v="31.4629671573639"/>
        <n v="360.470577955246"/>
        <n v="80.1387958526611"/>
        <n v="277.608299970627"/>
        <n v="33.3138101100922"/>
        <n v="55.7826180458069"/>
        <n v="71.0807521343231"/>
        <n v="113.397094011307"/>
        <n v="164.948977947235"/>
        <n v="292.641379833221"/>
        <n v="307.724907159805"/>
        <n v="407.802990674972"/>
        <n v="443.555508136749"/>
        <n v="370.496696949005"/>
        <n v="530.734738826752"/>
        <n v="666.795254945755"/>
        <n v="276.698390007019"/>
        <n v="490.979625940323"/>
      </sharedItems>
    </cacheField>
    <cacheField name="MeanExecutionTime" numFmtId="1">
      <sharedItems containsSemiMixedTypes="0" containsString="0" containsNumber="1">
        <n v="25.510665546764"/>
        <n v="20.2942845026652"/>
        <n v="21.1596811771393"/>
        <n v="22.2235830965496"/>
        <n v="22.0552423511233"/>
        <n v="22.4869877696037"/>
        <n v="35.1459931327451"/>
        <n v="15.2121393680572"/>
        <n v="26.4586252825601"/>
        <n v="24.7439845005671"/>
        <n v="29.3895074129105"/>
        <n v="23.4889587879181"/>
        <n v="26.9419993162155"/>
        <n v="21.3423063755035"/>
        <n v="20.5327332814534"/>
        <n v="25.7055553595225"/>
        <n v="22.9837276935577"/>
        <n v="26.0126646459103"/>
        <n v="21.0396170020103"/>
        <n v="17.1788376172384"/>
        <n v="21.7362310886383"/>
        <n v="23.3129046758016"/>
        <n v="40.4905097143991"/>
        <n v="23.7563087940216"/>
        <n v="23.4869212309519"/>
        <n v="20.5481162865957"/>
        <n v="24.977681239446"/>
        <n v="18.2513935565948"/>
        <n v="16.9069230556488"/>
        <n v="26.6015949249268"/>
        <n v="29.4507790026457"/>
        <n v="19.1734900474548"/>
        <n v="28.9650405320254"/>
        <n v="25.1236121313913"/>
        <n v="29.7100750749761"/>
        <n v="33.6223831119991"/>
        <n v="27.071624994278"/>
        <n v="15.7314835786819"/>
        <n v="22.5294111222029"/>
        <n v="20.0346989631653"/>
        <n v="23.1340249975522"/>
        <n v="16.6569050550461"/>
        <n v="18.594206015269"/>
        <n v="17.7701880335808"/>
        <n v="18.8995156685511"/>
        <n v="27.4914963245392"/>
        <n v="22.5108753717863"/>
        <n v="27.9749915599823"/>
        <n v="27.1868660449982"/>
        <n v="31.6825362954821"/>
        <n v="28.4997459191542"/>
        <n v="29.4852632681529"/>
        <n v="33.3397627472878"/>
        <n v="27.6698390007019"/>
        <n v="25.8410329442275"/>
      </sharedItems>
    </cacheField>
    <cacheField name="nbIterations" numFmtId="0">
      <sharedItems containsSemiMixedTypes="0" containsString="0" containsNumber="1" containsInteger="1">
        <n v="11.0"/>
        <n v="6.0"/>
        <n v="5.0"/>
        <n v="21.0"/>
        <n v="14.0"/>
        <n v="4.0"/>
        <n v="30.0"/>
        <n v="2.0"/>
        <n v="7.0"/>
        <n v="10.0"/>
        <n v="3.0"/>
        <n v="8.0"/>
        <n v="9.0"/>
        <n v="13.0"/>
        <n v="23.0"/>
        <n v="22.0"/>
        <n v="42.0"/>
        <n v="16.0"/>
        <n v="12.0"/>
        <n v="15.0"/>
        <n v="18.0"/>
        <n v="20.0"/>
        <n v="19.0"/>
      </sharedItems>
    </cacheField>
    <cacheField name="MNRPExecutionTime" numFmtId="1">
      <sharedItems containsString="0" containsBlank="1" containsNumber="1">
        <n v="1204.03717303276"/>
        <m/>
        <n v="471.654345035553"/>
        <n v="316.2737159729"/>
        <n v="79.4513938426971"/>
        <n v="138.436563014984"/>
        <n v="246.864217042923"/>
        <n v="553.139830112457"/>
        <n v="83.5185189247131"/>
        <n v="79.1825969219208"/>
        <n v="454.354659080505"/>
        <n v="69.7822909355164"/>
        <n v="304.67852807045"/>
        <n v="70.2086741924286"/>
        <n v="129.013830900192"/>
        <n v="1001.05353021622"/>
        <n v="71.1789801120758"/>
        <n v="70.1131479740143"/>
        <n v="1667.44662904739"/>
        <n v="521.668030977249"/>
        <n v="387.674911022186"/>
        <n v="888.700551986694"/>
        <n v="713.949486970901"/>
        <n v="223.088999032974"/>
        <n v="375.80708694458"/>
        <n v="69.8182759284973"/>
        <n v="330.051393032074"/>
        <n v="67.8391470909119"/>
        <n v="1179.33608007431"/>
        <n v="582.902956008911"/>
        <n v="1068.78695893288"/>
        <n v="225.236093044281"/>
        <n v="2108.07427716255"/>
        <n v="1289.92009997368"/>
      </sharedItems>
    </cacheField>
    <cacheField name="MNRPMeanExecutionTime" numFmtId="1">
      <sharedItems containsString="0" containsBlank="1" containsNumber="1">
        <n v="75.2523233145475"/>
        <m/>
        <n v="67.3791921479361"/>
        <n v="79.0684289932251"/>
        <n v="79.4513938426971"/>
        <n v="69.2182815074921"/>
        <n v="82.288072347641"/>
        <n v="92.1899716854095"/>
        <n v="83.5185189247131"/>
        <n v="79.1825969219208"/>
        <n v="75.7257765134176"/>
        <n v="69.7822909355164"/>
        <n v="76.1696320176125"/>
        <n v="70.2086741924286"/>
        <n v="64.5069154500961"/>
        <n v="100.105353021622"/>
        <n v="71.1789801120758"/>
        <n v="70.1131479740143"/>
        <n v="92.6359238359663"/>
        <n v="65.2085038721561"/>
        <n v="96.9187277555466"/>
        <n v="74.0583793322245"/>
        <n v="79.3277207745446"/>
        <n v="74.3629996776581"/>
        <n v="75.161417388916"/>
        <n v="69.8182759284973"/>
        <n v="66.0102786064148"/>
        <n v="67.8391470909119"/>
        <n v="69.3727105926065"/>
        <n v="72.8628695011139"/>
        <n v="76.3419256380626"/>
        <n v="75.078697681427"/>
        <n v="84.3229710865021"/>
        <n v="107.493341664473"/>
      </sharedItems>
    </cacheField>
    <cacheField name="MNRPnbIterations" numFmtId="0">
      <sharedItems containsString="0" containsBlank="1" containsNumber="1" containsInteger="1">
        <n v="16.0"/>
        <m/>
        <n v="7.0"/>
        <n v="4.0"/>
        <n v="1.0"/>
        <n v="2.0"/>
        <n v="3.0"/>
        <n v="6.0"/>
        <n v="10.0"/>
        <n v="18.0"/>
        <n v="8.0"/>
        <n v="12.0"/>
        <n v="9.0"/>
        <n v="5.0"/>
        <n v="17.0"/>
        <n v="13.0"/>
        <n v="25.0"/>
      </sharedItems>
    </cacheField>
    <cacheField name="MNRPTolerance" numFmtId="0">
      <sharedItems containsString="0" containsBlank="1" containsNumber="1" containsInteger="1">
        <n v="4.0"/>
        <m/>
      </sharedItems>
    </cacheField>
    <cacheField name="TumorPct" numFmtId="0">
      <sharedItems containsSemiMixedTypes="0" containsString="0" containsNumber="1" containsInteger="1">
        <n v="10.0"/>
      </sharedItems>
    </cacheField>
    <cacheField name="ResectPct" numFmtId="0">
      <sharedItems containsSemiMixedTypes="0" containsString="0" containsNumber="1" containsInteger="1">
        <n v="80.0"/>
      </sharedItems>
    </cacheField>
    <cacheField name="Tolerance" numFmtId="0">
      <sharedItems containsSemiMixedTypes="0" containsString="0" containsNumber="1" containsInteger="1">
        <n v="4.0"/>
      </sharedItems>
    </cacheField>
    <cacheField name="tradeOffTumorLoc" numFmtId="0">
      <sharedItems>
        <s v="geoverallgeVisual_NetworkVisual_Network"/>
        <s v="geoverallmodularityoverallVisual_Network"/>
        <s v="geoverallgeVisual_Network"/>
        <s v="geoverallmodularityoverall"/>
        <s v="geoverallgeMultiple_Demand_Extended_Network"/>
        <s v="geoverallgeVisual_NetworkMultiple_Demand_Extended_Network"/>
        <s v="geoverallmodularityoverallMultiple_Demand_Extended_Network"/>
        <s v="geoverallgeMultiple_Demand_Extended_NetworkMultiple_Demand_Extended_Network"/>
      </sharedItems>
    </cacheField>
    <cacheField name="tradeOff" numFmtId="0">
      <sharedItems>
        <s v="geoverallgeVisual_Network"/>
        <s v="geoverallmodularityoverall"/>
        <s v="geoverallgeMultiple_Demand_Extended_Networ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56" sheet="Sayfa1"/>
  </cacheSource>
  <cacheFields>
    <cacheField name="instance" numFmtId="0">
      <sharedItems containsSemiMixedTypes="0" containsString="0" containsNumber="1" containsInteger="1">
        <n v="94.0"/>
        <n v="95.0"/>
        <n v="96.0"/>
        <n v="98.0"/>
        <n v="99.0"/>
        <n v="100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</sharedItems>
    </cacheField>
    <cacheField name="obj1" numFmtId="0">
      <sharedItems>
        <s v="ge"/>
      </sharedItems>
    </cacheField>
    <cacheField name="subnetwork1" numFmtId="0">
      <sharedItems>
        <s v="overall"/>
      </sharedItems>
    </cacheField>
    <cacheField name="obj2" numFmtId="0">
      <sharedItems>
        <s v="ge"/>
        <s v="modularity"/>
      </sharedItems>
    </cacheField>
    <cacheField name="subnetwork2" numFmtId="165">
      <sharedItems>
        <s v="Visual_Network"/>
        <s v="overall"/>
        <s v="Multiple_Demand_Extended_Network"/>
      </sharedItems>
    </cacheField>
    <cacheField name="TumorSubnetwork" numFmtId="0">
      <sharedItems containsBlank="1">
        <s v="Visual_Network"/>
        <m/>
        <s v="Multiple_Demand_Extended_Network"/>
      </sharedItems>
    </cacheField>
    <cacheField name="hausdorff_distance" numFmtId="166">
      <sharedItems containsString="0" containsBlank="1" containsNumber="1">
        <n v="0.00344983097440377"/>
        <m/>
        <n v="2.14607077582284E-10"/>
        <n v="0.0231078073465341"/>
        <n v="0.0213990498610457"/>
        <n v="0.0177216085738507"/>
        <n v="1.20795149012364E-10"/>
        <n v="0.11090014766819"/>
        <n v="2.15043349129198E-10"/>
        <n v="1.67140650415392E-10"/>
        <n v="0.0407131586792815"/>
        <n v="1.70708074892755E-10"/>
        <n v="0.0352740645115972"/>
        <n v="1.56206336236025E-10"/>
        <n v="0.0110271529344885"/>
        <n v="0.21568763044814"/>
        <n v="1.12820835678416E-10"/>
        <n v="1.12831002374819E-10"/>
        <n v="0.0350272643249667"/>
        <n v="0.113008854336641"/>
        <n v="1.26790787578461E-10"/>
        <n v="0.00616344492277676"/>
        <n v="0.00521522260255836"/>
        <n v="0.0438944907266148"/>
        <n v="0.0391547528441549"/>
        <n v="0.0188339316618453"/>
        <n v="0.140306405328417"/>
        <n v="1.89820363471069E-10"/>
        <n v="0.597424316664714"/>
        <n v="0.0334378967589117"/>
        <n v="0.24420102373593"/>
        <n v="0.00944197893542764"/>
        <n v="0.013914495527672"/>
        <n v="3.20054466673838"/>
      </sharedItems>
    </cacheField>
    <cacheField name="igd_distance" numFmtId="166">
      <sharedItems containsString="0" containsBlank="1" containsNumber="1">
        <n v="0.00115017844436747"/>
        <m/>
        <n v="2.04128426480271E-10"/>
        <n v="0.00770260258775814"/>
        <n v="0.0213990498610457"/>
        <n v="0.00590720295539106"/>
        <n v="1.18243627662033E-10"/>
        <n v="0.0369667159671692"/>
        <n v="2.15043349129198E-10"/>
        <n v="1.67140650415392E-10"/>
        <n v="0.020356579423217"/>
        <n v="1.70708074892755E-10"/>
        <n v="0.0176370323402002"/>
        <n v="1.56206336236025E-10"/>
        <n v="0.00367571772272346"/>
        <n v="0.0539219077427275"/>
        <n v="1.12806496003716E-10"/>
        <n v="1.12831002374819E-10"/>
        <n v="0.0136480107483652"/>
        <n v="0.0713960912956585"/>
        <n v="1.25729511268894E-10"/>
        <n v="0.00284466694058489"/>
        <n v="0.00521522260255836"/>
        <n v="0.0355449951579251"/>
        <n v="0.0142080538677805"/>
        <n v="0.0188339316618453"/>
        <n v="0.0935376036092897"/>
        <n v="1.89820363471069E-10"/>
        <n v="0.199141438995383"/>
        <n v="0.0127497017529777"/>
        <n v="0.109144975041144"/>
        <n v="0.00236049481162315"/>
        <n v="0.00327156301421537"/>
        <n v="0.924688150259041"/>
      </sharedItems>
    </cacheField>
    <cacheField name="diagonal_distance" numFmtId="164">
      <sharedItems containsString="0" containsBlank="1" containsNumber="1">
        <n v="4.19348903861815"/>
        <m/>
        <n v="3.1347849157462"/>
        <n v="4.11110173918019"/>
        <n v="0.0"/>
        <n v="5.37616231626088"/>
        <n v="4.08489110127273"/>
        <n v="3.90016823668486"/>
        <n v="0.774899333388007"/>
        <n v="4.95173017301476"/>
        <n v="3.2427916175577"/>
        <n v="6.22331209610477"/>
        <n v="3.77178738783627"/>
        <n v="9.95965990665474"/>
        <n v="3.17451604170751"/>
        <n v="3.45563542098179"/>
        <n v="7.44960301843532"/>
        <n v="4.92589792666283"/>
        <n v="4.09423374415582"/>
        <n v="3.014358626007"/>
        <n v="5.27211956075563"/>
        <n v="7.14187547876329"/>
        <n v="3.54309802646484"/>
        <n v="0.81735595862571"/>
        <n v="11.7406243042787"/>
        <n v="13.7026593440977"/>
      </sharedItems>
    </cacheField>
    <cacheField name="haus/diag">
      <sharedItems containsMixedTypes="1" containsNumber="1">
        <n v="8.226636441955665E-4"/>
        <s v=""/>
        <n v="6.845990501750236E-11"/>
        <n v="0.005620830816787842"/>
        <n v="0.0032963306409572986"/>
        <n v="2.9571204229833165E-11"/>
        <n v="0.02843470869411906"/>
        <n v="0.0525399325113313"/>
        <n v="0.007123583733182558"/>
        <n v="0.003400512347072604"/>
        <n v="0.034658012826183165"/>
        <n v="2.99117696936616E-11"/>
        <n v="0.003516913695171715"/>
        <n v="0.0355987661904697"/>
        <n v="3.6691019778480604E-11"/>
        <n v="8.273521297073494E-4"/>
        <n v="0.008910962301720327"/>
        <n v="0.00956338970632663"/>
        <n v="0.04654602279831424"/>
        <n v="0.11331767229100694"/>
        <n v="0.004681949000418853"/>
        <n v="0.06892302214386767"/>
        <n v="0.01155185673485912"/>
        <n v="0.0011851580603427592"/>
        <n v="0.2335710599210792"/>
      </sharedItems>
    </cacheField>
    <cacheField name="igd/diag">
      <sharedItems containsMixedTypes="1" containsNumber="1">
        <n v="2.7427720301052226E-4"/>
        <s v=""/>
        <n v="6.511720324253269E-11"/>
        <n v="0.0018736103060524466"/>
        <n v="0.001098776898443706"/>
        <n v="2.8946580148780913E-11"/>
        <n v="0.009478236251313837"/>
        <n v="0.02626996636351998"/>
        <n v="0.0035617918836361494"/>
        <n v="0.0011335041397115171"/>
        <n v="0.008664503227546267"/>
        <n v="2.990796786889644E-11"/>
        <n v="0.001370328994792886"/>
        <n v="0.022490386048657655"/>
        <n v="3.638390511495934E-11"/>
        <n v="3.818548362302359E-4"/>
        <n v="0.007215942288517116"/>
        <n v="0.0034702595786235517"/>
        <n v="0.0310306818844562"/>
        <n v="0.03777255745065859"/>
        <n v="0.0017852035912540832"/>
        <n v="0.030804954936582557"/>
        <n v="0.002887964278858443"/>
        <n v="2.786532410395839E-4"/>
        <n v="0.06748238623164358"/>
      </sharedItems>
    </cacheField>
    <cacheField name="ExecutionTime" numFmtId="1">
      <sharedItems containsSemiMixedTypes="0" containsString="0" containsNumber="1">
        <n v="280.617321014404"/>
        <n v="121.765707015991"/>
        <n v="105.798405885696"/>
        <n v="466.695245027542"/>
        <n v="308.773392915726"/>
        <n v="89.9479510784149"/>
        <n v="1089.5257871151"/>
        <n v="30.4242787361145"/>
        <n v="185.210376977921"/>
        <n v="148.463907003403"/>
        <n v="293.895074129105"/>
        <n v="117.44479393959"/>
        <n v="269.419993162155"/>
        <n v="64.0269191265106"/>
        <n v="61.5981998443604"/>
        <n v="154.233332157135"/>
        <n v="137.902366161346"/>
        <n v="208.101317167282"/>
        <n v="84.1584680080414"/>
        <n v="51.5365128517151"/>
        <n v="173.889848709106"/>
        <n v="69.9387140274048"/>
        <n v="850.30070400238"/>
        <n v="118.781543970108"/>
        <n v="211.382291078568"/>
        <n v="61.644348859787"/>
        <n v="224.799131155014"/>
        <n v="36.5027871131897"/>
        <n v="33.8138461112976"/>
        <n v="345.820734024048"/>
        <n v="677.367917060852"/>
        <n v="38.3469800949097"/>
        <n v="637.230891704559"/>
        <n v="175.865284919739"/>
        <n v="326.810825824737"/>
        <n v="1412.14009070396"/>
        <n v="162.429749965668"/>
        <n v="31.4629671573639"/>
        <n v="360.470577955246"/>
        <n v="80.1387958526611"/>
        <n v="277.608299970627"/>
        <n v="33.3138101100922"/>
        <n v="55.7826180458069"/>
        <n v="71.0807521343231"/>
        <n v="113.397094011307"/>
        <n v="164.948977947235"/>
        <n v="292.641379833221"/>
        <n v="307.724907159805"/>
        <n v="407.802990674972"/>
        <n v="443.555508136749"/>
        <n v="370.496696949005"/>
        <n v="530.734738826752"/>
        <n v="666.795254945755"/>
        <n v="276.698390007019"/>
        <n v="490.979625940323"/>
      </sharedItems>
    </cacheField>
    <cacheField name="MeanExecutionTime" numFmtId="1">
      <sharedItems containsSemiMixedTypes="0" containsString="0" containsNumber="1">
        <n v="25.510665546764"/>
        <n v="20.2942845026652"/>
        <n v="21.1596811771393"/>
        <n v="22.2235830965496"/>
        <n v="22.0552423511233"/>
        <n v="22.4869877696037"/>
        <n v="35.1459931327451"/>
        <n v="15.2121393680572"/>
        <n v="26.4586252825601"/>
        <n v="24.7439845005671"/>
        <n v="29.3895074129105"/>
        <n v="23.4889587879181"/>
        <n v="26.9419993162155"/>
        <n v="21.3423063755035"/>
        <n v="20.5327332814534"/>
        <n v="25.7055553595225"/>
        <n v="22.9837276935577"/>
        <n v="26.0126646459103"/>
        <n v="21.0396170020103"/>
        <n v="17.1788376172384"/>
        <n v="21.7362310886383"/>
        <n v="23.3129046758016"/>
        <n v="40.4905097143991"/>
        <n v="23.7563087940216"/>
        <n v="23.4869212309519"/>
        <n v="20.5481162865957"/>
        <n v="24.977681239446"/>
        <n v="18.2513935565948"/>
        <n v="16.9069230556488"/>
        <n v="26.6015949249268"/>
        <n v="29.4507790026457"/>
        <n v="19.1734900474548"/>
        <n v="28.9650405320254"/>
        <n v="25.1236121313913"/>
        <n v="29.7100750749761"/>
        <n v="33.6223831119991"/>
        <n v="27.071624994278"/>
        <n v="15.7314835786819"/>
        <n v="22.5294111222029"/>
        <n v="20.0346989631653"/>
        <n v="23.1340249975522"/>
        <n v="16.6569050550461"/>
        <n v="18.594206015269"/>
        <n v="17.7701880335808"/>
        <n v="18.8995156685511"/>
        <n v="27.4914963245392"/>
        <n v="22.5108753717863"/>
        <n v="27.9749915599823"/>
        <n v="27.1868660449982"/>
        <n v="31.6825362954821"/>
        <n v="28.4997459191542"/>
        <n v="29.4852632681529"/>
        <n v="33.3397627472878"/>
        <n v="27.6698390007019"/>
        <n v="25.8410329442275"/>
      </sharedItems>
    </cacheField>
    <cacheField name="nbIterations" numFmtId="0">
      <sharedItems containsSemiMixedTypes="0" containsString="0" containsNumber="1" containsInteger="1">
        <n v="11.0"/>
        <n v="6.0"/>
        <n v="5.0"/>
        <n v="21.0"/>
        <n v="14.0"/>
        <n v="4.0"/>
        <n v="30.0"/>
        <n v="2.0"/>
        <n v="7.0"/>
        <n v="10.0"/>
        <n v="3.0"/>
        <n v="8.0"/>
        <n v="9.0"/>
        <n v="13.0"/>
        <n v="23.0"/>
        <n v="22.0"/>
        <n v="42.0"/>
        <n v="16.0"/>
        <n v="12.0"/>
        <n v="15.0"/>
        <n v="18.0"/>
        <n v="20.0"/>
        <n v="19.0"/>
      </sharedItems>
    </cacheField>
    <cacheField name="MNRPExecutionTime" numFmtId="1">
      <sharedItems containsString="0" containsBlank="1" containsNumber="1">
        <n v="1204.03717303276"/>
        <m/>
        <n v="471.654345035553"/>
        <n v="316.2737159729"/>
        <n v="79.4513938426971"/>
        <n v="138.436563014984"/>
        <n v="246.864217042923"/>
        <n v="553.139830112457"/>
        <n v="83.5185189247131"/>
        <n v="79.1825969219208"/>
        <n v="454.354659080505"/>
        <n v="69.7822909355164"/>
        <n v="304.67852807045"/>
        <n v="70.2086741924286"/>
        <n v="129.013830900192"/>
        <n v="1001.05353021622"/>
        <n v="71.1789801120758"/>
        <n v="70.1131479740143"/>
        <n v="1667.44662904739"/>
        <n v="521.668030977249"/>
        <n v="387.674911022186"/>
        <n v="888.700551986694"/>
        <n v="713.949486970901"/>
        <n v="223.088999032974"/>
        <n v="375.80708694458"/>
        <n v="69.8182759284973"/>
        <n v="330.051393032074"/>
        <n v="67.8391470909119"/>
        <n v="1179.33608007431"/>
        <n v="582.902956008911"/>
        <n v="1068.78695893288"/>
        <n v="225.236093044281"/>
        <n v="2108.07427716255"/>
        <n v="1289.92009997368"/>
      </sharedItems>
    </cacheField>
    <cacheField name="MNRPMeanExecutionTime" numFmtId="1">
      <sharedItems containsString="0" containsBlank="1" containsNumber="1">
        <n v="75.2523233145475"/>
        <m/>
        <n v="67.3791921479361"/>
        <n v="79.0684289932251"/>
        <n v="79.4513938426971"/>
        <n v="69.2182815074921"/>
        <n v="82.288072347641"/>
        <n v="92.1899716854095"/>
        <n v="83.5185189247131"/>
        <n v="79.1825969219208"/>
        <n v="75.7257765134176"/>
        <n v="69.7822909355164"/>
        <n v="76.1696320176125"/>
        <n v="70.2086741924286"/>
        <n v="64.5069154500961"/>
        <n v="100.105353021622"/>
        <n v="71.1789801120758"/>
        <n v="70.1131479740143"/>
        <n v="92.6359238359663"/>
        <n v="65.2085038721561"/>
        <n v="96.9187277555466"/>
        <n v="74.0583793322245"/>
        <n v="79.3277207745446"/>
        <n v="74.3629996776581"/>
        <n v="75.161417388916"/>
        <n v="69.8182759284973"/>
        <n v="66.0102786064148"/>
        <n v="67.8391470909119"/>
        <n v="69.3727105926065"/>
        <n v="72.8628695011139"/>
        <n v="76.3419256380626"/>
        <n v="75.078697681427"/>
        <n v="84.3229710865021"/>
        <n v="107.493341664473"/>
      </sharedItems>
    </cacheField>
    <cacheField name="MNRPnbIterations" numFmtId="0">
      <sharedItems containsString="0" containsBlank="1" containsNumber="1" containsInteger="1">
        <n v="16.0"/>
        <m/>
        <n v="7.0"/>
        <n v="4.0"/>
        <n v="1.0"/>
        <n v="2.0"/>
        <n v="3.0"/>
        <n v="6.0"/>
        <n v="10.0"/>
        <n v="18.0"/>
        <n v="8.0"/>
        <n v="12.0"/>
        <n v="9.0"/>
        <n v="5.0"/>
        <n v="17.0"/>
        <n v="13.0"/>
        <n v="25.0"/>
      </sharedItems>
    </cacheField>
    <cacheField name="MNRPTolerance" numFmtId="0">
      <sharedItems containsString="0" containsBlank="1" containsNumber="1" containsInteger="1">
        <n v="4.0"/>
        <m/>
      </sharedItems>
    </cacheField>
    <cacheField name="TumorPct" numFmtId="0">
      <sharedItems containsSemiMixedTypes="0" containsString="0" containsNumber="1" containsInteger="1">
        <n v="10.0"/>
      </sharedItems>
    </cacheField>
    <cacheField name="ResectPct" numFmtId="0">
      <sharedItems containsSemiMixedTypes="0" containsString="0" containsNumber="1" containsInteger="1">
        <n v="80.0"/>
      </sharedItems>
    </cacheField>
    <cacheField name="Tolerance" numFmtId="0">
      <sharedItems containsSemiMixedTypes="0" containsString="0" containsNumber="1" containsInteger="1">
        <n v="4.0"/>
      </sharedItems>
    </cacheField>
    <cacheField name="tradeOffTumorLoc" numFmtId="0">
      <sharedItems>
        <s v="geoverallgeVisual_NetworkVisual_Network"/>
        <s v="geoverallmodularityoverallVisual_Network"/>
        <s v="geoverallgeVisual_Network"/>
        <s v="geoverallmodularityoverall"/>
        <s v="geoverallgeMultiple_Demand_Extended_Network"/>
        <s v="geoverallgeVisual_NetworkMultiple_Demand_Extended_Network"/>
        <s v="geoverallmodularityoverallMultiple_Demand_Extended_Network"/>
        <s v="geoverallgeMultiple_Demand_Extended_NetworkMultiple_Demand_Extended_Networ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K13" firstHeaderRow="0" firstDataRow="3" firstDataCol="0"/>
  <pivotFields>
    <pivotField name="in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bj1" compact="0" outline="0" multipleItemSelectionAllowed="1" showAll="0">
      <items>
        <item x="0"/>
        <item t="default"/>
      </items>
    </pivotField>
    <pivotField name="subnetwork1" compact="0" outline="0" multipleItemSelectionAllowed="1" showAll="0">
      <items>
        <item x="0"/>
        <item t="default"/>
      </items>
    </pivotField>
    <pivotField name="obj2" compact="0" outline="0" multipleItemSelectionAllowed="1" showAll="0">
      <items>
        <item x="0"/>
        <item x="1"/>
        <item t="default"/>
      </items>
    </pivotField>
    <pivotField name="subnetwork2" compact="0" numFmtId="165" outline="0" multipleItemSelectionAllowed="1" showAll="0">
      <items>
        <item x="0"/>
        <item x="1"/>
        <item x="2"/>
        <item t="default"/>
      </items>
    </pivotField>
    <pivotField name="TumorSubnetwork" axis="axisRow" compact="0" outline="0" multipleItemSelectionAllowed="1" showAll="0" sortType="ascending">
      <items>
        <item x="1"/>
        <item x="2"/>
        <item x="0"/>
        <item t="default"/>
      </items>
    </pivotField>
    <pivotField name="hausdorff_distan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igd_distan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iagonal_dist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aus/di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gd/di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ean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bIter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NRP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NRPMean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NRPnbIter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NRPTolerance" compact="0" outline="0" multipleItemSelectionAllowed="1" showAll="0">
      <items>
        <item x="0"/>
        <item x="1"/>
        <item t="default"/>
      </items>
    </pivotField>
    <pivotField name="TumorPct" compact="0" outline="0" multipleItemSelectionAllowed="1" showAll="0">
      <items>
        <item x="0"/>
        <item t="default"/>
      </items>
    </pivotField>
    <pivotField name="ResectPct" compact="0" outline="0" multipleItemSelectionAllowed="1" showAll="0">
      <items>
        <item x="0"/>
        <item t="default"/>
      </items>
    </pivotField>
    <pivotField name="Tolerance" compact="0" outline="0" multipleItemSelectionAllowed="1" showAll="0">
      <items>
        <item x="0"/>
        <item t="default"/>
      </items>
    </pivotField>
    <pivotField name="tradeOffTumorLo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deOff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22"/>
    <field x="5"/>
  </rowFields>
  <colFields>
    <field x="-2"/>
  </colFields>
  <dataFields>
    <dataField name="AVERAGE of nbIterations" fld="13" subtotal="average" baseField="0"/>
    <dataField name="AVERAGE of diagonal_distance" fld="8" subtotal="average" baseField="0"/>
    <dataField name="AVERAGE of hausdorff_distance" fld="6" subtotal="average" baseField="0"/>
    <dataField name="AVERAGE of igd_distance" fld="7" subtotal="average" baseField="0"/>
    <dataField name="AVERAGE of ExecutionTime" fld="11" subtotal="average" baseField="0"/>
    <dataField name="AVERAGE of MeanExecutionTime" fld="12" subtotal="average" baseField="0"/>
    <dataField name="AVERAGE of MNRPExecutionTime" fld="14" subtotal="average" baseField="0"/>
    <dataField name="AVERAGE of MNRPMeanExecutionTime" fld="15" subtotal="average" baseField="0"/>
    <dataField name="AVERAGE of MNRPnbIterations" fld="16" subtotal="average" baseField="0"/>
  </dataFields>
</pivotTableDefinition>
</file>

<file path=xl/pivotTables/pivotTable2.xml><?xml version="1.0" encoding="utf-8"?>
<pivotTableDefinition xmlns="http://schemas.openxmlformats.org/spreadsheetml/2006/main" name="Pivot Table 4" cacheId="1" dataCaption="" compact="0" compactData="0">
  <location ref="A1:N16" firstHeaderRow="0" firstDataRow="4" firstDataCol="0"/>
  <pivotFields>
    <pivotField name="in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bj1" compact="0" outline="0" multipleItemSelectionAllowed="1" showAll="0">
      <items>
        <item x="0"/>
        <item t="default"/>
      </items>
    </pivotField>
    <pivotField name="subnetwork1" axis="axisRow" compact="0" outline="0" multipleItemSelectionAllowed="1" showAll="0" sortType="ascending">
      <items>
        <item x="0"/>
        <item t="default"/>
      </items>
    </pivotField>
    <pivotField name="obj2" compact="0" outline="0" multipleItemSelectionAllowed="1" showAll="0">
      <items>
        <item x="0"/>
        <item x="1"/>
        <item t="default"/>
      </items>
    </pivotField>
    <pivotField name="subnetwork2" axis="axisRow" compact="0" numFmtId="165" outline="0" multipleItemSelectionAllowed="1" showAll="0" sortType="ascending">
      <items>
        <item x="2"/>
        <item x="1"/>
        <item x="0"/>
        <item t="default"/>
      </items>
    </pivotField>
    <pivotField name="TumorSubnetwork" axis="axisRow" compact="0" outline="0" multipleItemSelectionAllowed="1" showAll="0" sortType="ascending">
      <items>
        <item x="1"/>
        <item x="2"/>
        <item x="0"/>
        <item t="default"/>
      </items>
    </pivotField>
    <pivotField name="hausdorff_distan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igd_distan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iagonal_dist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aus/di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gd/di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ean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bIter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NRP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NRPMean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NRPnbIter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NRPTolerance" compact="0" outline="0" multipleItemSelectionAllowed="1" showAll="0">
      <items>
        <item x="0"/>
        <item x="1"/>
        <item t="default"/>
      </items>
    </pivotField>
    <pivotField name="TumorPct" compact="0" outline="0" multipleItemSelectionAllowed="1" showAll="0">
      <items>
        <item x="0"/>
        <item t="default"/>
      </items>
    </pivotField>
    <pivotField name="ResectPct" compact="0" outline="0" multipleItemSelectionAllowed="1" showAll="0">
      <items>
        <item x="0"/>
        <item t="default"/>
      </items>
    </pivotField>
    <pivotField name="Tolerance" compact="0" outline="0" multipleItemSelectionAllowed="1" showAll="0">
      <items>
        <item x="0"/>
        <item t="default"/>
      </items>
    </pivotField>
    <pivotField name="tradeOffTumorLo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  <field x="2"/>
    <field x="4"/>
  </rowFields>
  <colFields>
    <field x="-2"/>
  </colFields>
  <dataFields>
    <dataField name="AVERAGE of hausdorff_distance" fld="6" subtotal="average" baseField="0"/>
    <dataField name="AVERAGE of igd_distance" fld="7" subtotal="average" baseField="0"/>
    <dataField name="AVERAGE of ExecutionTime" fld="11" subtotal="average" baseField="0"/>
    <dataField name="AVERAGE of MNRPExecutionTime" fld="14" subtotal="average" baseField="0"/>
    <dataField name="AVERAGE of diagonal_distance" fld="8" subtotal="average" baseField="0"/>
    <dataField name="AVERAGE of nbIterations" fld="13" subtotal="average" baseField="0"/>
    <dataField name="AVERAGE of MNRPnbIterations" fld="16" subtotal="average" baseField="0"/>
    <dataField name="AVERAGE of MNRPMeanExecutionTime" fld="15" subtotal="average" baseField="0"/>
    <dataField name="AVERAGE of MeanExecutionTime" fld="12" subtotal="average" baseField="0"/>
    <dataField name="STDEV of MeanExecutionTime" fld="12" subtotal="stdDev" baseField="0"/>
    <dataField name="STDEV of MNRPMeanExecutionTime" fld="15" subtotal="stdDev" baseField="0"/>
  </dataFields>
</pivotTableDefinition>
</file>

<file path=xl/pivotTables/pivotTable3.xml><?xml version="1.0" encoding="utf-8"?>
<pivotTableDefinition xmlns="http://schemas.openxmlformats.org/spreadsheetml/2006/main" name="Pivot Table 3" cacheId="1" dataCaption="" compact="0" compactData="0">
  <location ref="A1:K10" firstHeaderRow="0" firstDataRow="2" firstDataCol="0"/>
  <pivotFields>
    <pivotField name="in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bj1" compact="0" outline="0" multipleItemSelectionAllowed="1" showAll="0">
      <items>
        <item x="0"/>
        <item t="default"/>
      </items>
    </pivotField>
    <pivotField name="subnetwork1" compact="0" outline="0" multipleItemSelectionAllowed="1" showAll="0">
      <items>
        <item x="0"/>
        <item t="default"/>
      </items>
    </pivotField>
    <pivotField name="obj2" compact="0" outline="0" multipleItemSelectionAllowed="1" showAll="0">
      <items>
        <item x="0"/>
        <item x="1"/>
        <item t="default"/>
      </items>
    </pivotField>
    <pivotField name="subnetwork2" compact="0" numFmtId="165" outline="0" multipleItemSelectionAllowed="1" showAll="0">
      <items>
        <item x="0"/>
        <item x="1"/>
        <item x="2"/>
        <item t="default"/>
      </items>
    </pivotField>
    <pivotField name="TumorSubnetwork" compact="0" outline="0" multipleItemSelectionAllowed="1" showAll="0">
      <items>
        <item x="0"/>
        <item x="1"/>
        <item x="2"/>
        <item t="default"/>
      </items>
    </pivotField>
    <pivotField name="hausdorff_distan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igd_distan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iagonal_dist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aus/dia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gd/dia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ecution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eanExecution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bIter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NRPExecutionTim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NRPMeanExecutionTime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NRPnbIter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NRPTolerance" compact="0" outline="0" multipleItemSelectionAllowed="1" showAll="0">
      <items>
        <item x="0"/>
        <item x="1"/>
        <item t="default"/>
      </items>
    </pivotField>
    <pivotField name="TumorPct" compact="0" outline="0" multipleItemSelectionAllowed="1" showAll="0">
      <items>
        <item x="0"/>
        <item t="default"/>
      </items>
    </pivotField>
    <pivotField name="ResectPct" compact="0" outline="0" multipleItemSelectionAllowed="1" showAll="0">
      <items>
        <item x="0"/>
        <item t="default"/>
      </items>
    </pivotField>
    <pivotField name="Tolerance" compact="0" outline="0" multipleItemSelectionAllowed="1" showAll="0">
      <items>
        <item x="0"/>
        <item t="default"/>
      </items>
    </pivotField>
    <pivotField name="tradeOffTumorLoc" axis="axisRow" compact="0" outline="0" multipleItemSelectionAllowed="1" showAll="0" sortType="ascending">
      <items>
        <item x="4"/>
        <item x="7"/>
        <item x="2"/>
        <item x="5"/>
        <item x="0"/>
        <item x="3"/>
        <item x="6"/>
        <item x="1"/>
        <item t="default"/>
      </items>
    </pivotField>
  </pivotFields>
  <rowFields>
    <field x="21"/>
  </rowFields>
  <colFields>
    <field x="-2"/>
  </colFields>
  <dataFields>
    <dataField name="COUNTA of igd_distance" fld="7" subtotal="count" baseField="0"/>
    <dataField name="AVERAGE of igd_distance" fld="7" subtotal="average" baseField="0"/>
    <dataField name="AVERAGE of hausdorff_distance" fld="6" subtotal="average" baseField="0"/>
    <dataField name="AVERAGE of diagonal_distance" fld="8" subtotal="average" baseField="0"/>
    <dataField name="AVERAGE of igd/diag" fld="10" subtotal="average" baseField="0"/>
    <dataField name="AVERAGE of haus/diag" fld="9" subtotal="average" baseField="0"/>
    <dataField name="STDEV of hausdorff_distance" fld="6" subtotal="stdDev" baseField="0"/>
    <dataField name="AVERAGE of MNRPMeanExecutionTime" fld="15" subtotal="average" baseField="0"/>
    <dataField name="AVERAGE of nbIterations" fld="13" subtotal="average" baseField="0"/>
    <dataField name="AVERAGE of MNRPnbIterations" fld="1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10.75"/>
    <col customWidth="1" min="4" max="4" width="6.88"/>
    <col customWidth="1" min="5" max="6" width="21.88"/>
    <col customWidth="1" min="7" max="7" width="14.13"/>
    <col customWidth="1" min="8" max="8" width="14.88"/>
    <col customWidth="1" min="9" max="9" width="14.13"/>
    <col customWidth="1" min="12" max="12" width="11.63"/>
    <col customWidth="1" min="13" max="13" width="14.88"/>
    <col customWidth="1" min="14" max="14" width="10.25"/>
    <col customWidth="1" min="15" max="15" width="15.13"/>
    <col customWidth="1" min="16" max="16" width="18.38"/>
    <col customWidth="1" min="17" max="17" width="13.75"/>
    <col customWidth="1" min="18" max="18" width="12.25"/>
    <col customWidth="1" min="19" max="19" width="8.75"/>
    <col customWidth="1" min="20" max="20" width="8.88"/>
    <col customWidth="1" min="21" max="21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</row>
    <row r="2">
      <c r="A2" s="5">
        <v>94.0</v>
      </c>
      <c r="B2" s="6" t="s">
        <v>23</v>
      </c>
      <c r="C2" s="6" t="s">
        <v>24</v>
      </c>
      <c r="D2" s="6" t="s">
        <v>23</v>
      </c>
      <c r="E2" s="7" t="s">
        <v>25</v>
      </c>
      <c r="F2" s="6" t="s">
        <v>25</v>
      </c>
      <c r="G2" s="8">
        <v>0.00344983097440377</v>
      </c>
      <c r="H2" s="8">
        <v>0.00115017844436747</v>
      </c>
      <c r="I2" s="9">
        <v>4.19348903861815</v>
      </c>
      <c r="J2" s="10">
        <f t="shared" ref="J2:J56" si="1">IF(I2=0,"",G2/I2)</f>
        <v>0.0008226636442</v>
      </c>
      <c r="K2" s="10">
        <f t="shared" ref="K2:K56" si="2">IF(I2=0,"",H2/I2)</f>
        <v>0.000274277203</v>
      </c>
      <c r="L2" s="11">
        <v>280.617321014404</v>
      </c>
      <c r="M2" s="11">
        <v>25.510665546764</v>
      </c>
      <c r="N2" s="6">
        <v>11.0</v>
      </c>
      <c r="O2" s="11">
        <v>1204.03717303276</v>
      </c>
      <c r="P2" s="11">
        <v>75.2523233145475</v>
      </c>
      <c r="Q2" s="6">
        <v>16.0</v>
      </c>
      <c r="R2" s="6">
        <v>4.0</v>
      </c>
      <c r="S2" s="6">
        <v>10.0</v>
      </c>
      <c r="T2" s="6">
        <v>80.0</v>
      </c>
      <c r="U2" s="6">
        <v>4.0</v>
      </c>
      <c r="V2" s="12" t="str">
        <f t="shared" ref="V2:V56" si="3">B2&amp;C2&amp;D2&amp;E2&amp;F2</f>
        <v>geoverallgeVisual_NetworkVisual_Network</v>
      </c>
      <c r="W2" s="12" t="str">
        <f t="shared" ref="W2:W56" si="4">B2&amp;C2&amp;D2&amp;E2</f>
        <v>geoverallgeVisual_Network</v>
      </c>
    </row>
    <row r="3" hidden="1">
      <c r="A3" s="13">
        <v>94.0</v>
      </c>
      <c r="B3" s="14" t="s">
        <v>23</v>
      </c>
      <c r="C3" s="14" t="s">
        <v>24</v>
      </c>
      <c r="D3" s="14" t="s">
        <v>26</v>
      </c>
      <c r="E3" s="15" t="s">
        <v>24</v>
      </c>
      <c r="F3" s="14" t="s">
        <v>25</v>
      </c>
      <c r="G3" s="16"/>
      <c r="H3" s="16"/>
      <c r="I3" s="17"/>
      <c r="J3" s="10" t="str">
        <f t="shared" si="1"/>
        <v/>
      </c>
      <c r="K3" s="10" t="str">
        <f t="shared" si="2"/>
        <v/>
      </c>
      <c r="L3" s="18">
        <v>121.765707015991</v>
      </c>
      <c r="M3" s="18">
        <v>20.2942845026652</v>
      </c>
      <c r="N3" s="14">
        <v>6.0</v>
      </c>
      <c r="O3" s="19"/>
      <c r="P3" s="19"/>
      <c r="Q3" s="20"/>
      <c r="R3" s="21"/>
      <c r="S3" s="14">
        <v>10.0</v>
      </c>
      <c r="T3" s="14">
        <v>80.0</v>
      </c>
      <c r="U3" s="14">
        <v>4.0</v>
      </c>
      <c r="V3" s="12" t="str">
        <f t="shared" si="3"/>
        <v>geoverallmodularityoverallVisual_Network</v>
      </c>
      <c r="W3" s="12" t="str">
        <f t="shared" si="4"/>
        <v>geoverallmodularityoverall</v>
      </c>
    </row>
    <row r="4">
      <c r="A4" s="13">
        <v>95.0</v>
      </c>
      <c r="B4" s="14" t="s">
        <v>23</v>
      </c>
      <c r="C4" s="14" t="s">
        <v>24</v>
      </c>
      <c r="D4" s="14" t="s">
        <v>23</v>
      </c>
      <c r="E4" s="15" t="s">
        <v>25</v>
      </c>
      <c r="F4" s="21"/>
      <c r="G4" s="22">
        <v>2.14607077582284E-10</v>
      </c>
      <c r="H4" s="22">
        <v>2.04128426480271E-10</v>
      </c>
      <c r="I4" s="23">
        <v>3.1347849157462</v>
      </c>
      <c r="J4" s="10">
        <f t="shared" si="1"/>
        <v>0</v>
      </c>
      <c r="K4" s="10">
        <f t="shared" si="2"/>
        <v>0</v>
      </c>
      <c r="L4" s="18">
        <v>105.798405885696</v>
      </c>
      <c r="M4" s="18">
        <v>21.1596811771393</v>
      </c>
      <c r="N4" s="14">
        <v>5.0</v>
      </c>
      <c r="O4" s="18">
        <v>471.654345035553</v>
      </c>
      <c r="P4" s="18">
        <v>67.3791921479361</v>
      </c>
      <c r="Q4" s="14">
        <v>7.0</v>
      </c>
      <c r="R4" s="14">
        <v>4.0</v>
      </c>
      <c r="S4" s="14">
        <v>10.0</v>
      </c>
      <c r="T4" s="14">
        <v>80.0</v>
      </c>
      <c r="U4" s="14">
        <v>4.0</v>
      </c>
      <c r="V4" s="12" t="str">
        <f t="shared" si="3"/>
        <v>geoverallgeVisual_Network</v>
      </c>
      <c r="W4" s="12" t="str">
        <f t="shared" si="4"/>
        <v>geoverallgeVisual_Network</v>
      </c>
    </row>
    <row r="5" hidden="1">
      <c r="A5" s="13">
        <v>95.0</v>
      </c>
      <c r="B5" s="14" t="s">
        <v>23</v>
      </c>
      <c r="C5" s="14" t="s">
        <v>24</v>
      </c>
      <c r="D5" s="14" t="s">
        <v>26</v>
      </c>
      <c r="E5" s="15" t="s">
        <v>24</v>
      </c>
      <c r="F5" s="21"/>
      <c r="G5" s="16"/>
      <c r="H5" s="16"/>
      <c r="I5" s="17"/>
      <c r="J5" s="10" t="str">
        <f t="shared" si="1"/>
        <v/>
      </c>
      <c r="K5" s="10" t="str">
        <f t="shared" si="2"/>
        <v/>
      </c>
      <c r="L5" s="18">
        <v>466.695245027542</v>
      </c>
      <c r="M5" s="18">
        <v>22.2235830965496</v>
      </c>
      <c r="N5" s="14">
        <v>21.0</v>
      </c>
      <c r="O5" s="19"/>
      <c r="P5" s="19"/>
      <c r="Q5" s="20"/>
      <c r="R5" s="20"/>
      <c r="S5" s="14">
        <v>10.0</v>
      </c>
      <c r="T5" s="14">
        <v>80.0</v>
      </c>
      <c r="U5" s="14">
        <v>4.0</v>
      </c>
      <c r="V5" s="12" t="str">
        <f t="shared" si="3"/>
        <v>geoverallmodularityoverall</v>
      </c>
      <c r="W5" s="12" t="str">
        <f t="shared" si="4"/>
        <v>geoverallmodularityoverall</v>
      </c>
    </row>
    <row r="6">
      <c r="A6" s="13">
        <v>95.0</v>
      </c>
      <c r="B6" s="14" t="s">
        <v>23</v>
      </c>
      <c r="C6" s="14" t="s">
        <v>24</v>
      </c>
      <c r="D6" s="14" t="s">
        <v>23</v>
      </c>
      <c r="E6" s="15" t="s">
        <v>27</v>
      </c>
      <c r="F6" s="21"/>
      <c r="G6" s="22">
        <v>0.0231078073465341</v>
      </c>
      <c r="H6" s="22">
        <v>0.00770260258775814</v>
      </c>
      <c r="I6" s="23">
        <v>4.11110173918019</v>
      </c>
      <c r="J6" s="10">
        <f t="shared" si="1"/>
        <v>0.005620830817</v>
      </c>
      <c r="K6" s="10">
        <f t="shared" si="2"/>
        <v>0.001873610306</v>
      </c>
      <c r="L6" s="18">
        <v>308.773392915726</v>
      </c>
      <c r="M6" s="18">
        <v>22.0552423511233</v>
      </c>
      <c r="N6" s="14">
        <v>14.0</v>
      </c>
      <c r="O6" s="18">
        <v>316.2737159729</v>
      </c>
      <c r="P6" s="18">
        <v>79.0684289932251</v>
      </c>
      <c r="Q6" s="14">
        <v>4.0</v>
      </c>
      <c r="R6" s="14">
        <v>4.0</v>
      </c>
      <c r="S6" s="14">
        <v>10.0</v>
      </c>
      <c r="T6" s="14">
        <v>80.0</v>
      </c>
      <c r="U6" s="14">
        <v>4.0</v>
      </c>
      <c r="V6" s="12" t="str">
        <f t="shared" si="3"/>
        <v>geoverallgeMultiple_Demand_Extended_Network</v>
      </c>
      <c r="W6" s="12" t="str">
        <f t="shared" si="4"/>
        <v>geoverallgeMultiple_Demand_Extended_Network</v>
      </c>
    </row>
    <row r="7">
      <c r="A7" s="13">
        <v>96.0</v>
      </c>
      <c r="B7" s="14" t="s">
        <v>23</v>
      </c>
      <c r="C7" s="14" t="s">
        <v>24</v>
      </c>
      <c r="D7" s="14" t="s">
        <v>23</v>
      </c>
      <c r="E7" s="15" t="s">
        <v>25</v>
      </c>
      <c r="F7" s="14" t="s">
        <v>25</v>
      </c>
      <c r="G7" s="22">
        <v>0.0213990498610457</v>
      </c>
      <c r="H7" s="22">
        <v>0.0213990498610457</v>
      </c>
      <c r="I7" s="23">
        <v>0.0</v>
      </c>
      <c r="J7" s="10" t="str">
        <f t="shared" si="1"/>
        <v/>
      </c>
      <c r="K7" s="10" t="str">
        <f t="shared" si="2"/>
        <v/>
      </c>
      <c r="L7" s="18">
        <v>89.9479510784149</v>
      </c>
      <c r="M7" s="18">
        <v>22.4869877696037</v>
      </c>
      <c r="N7" s="14">
        <v>4.0</v>
      </c>
      <c r="O7" s="18">
        <v>79.4513938426971</v>
      </c>
      <c r="P7" s="18">
        <v>79.4513938426971</v>
      </c>
      <c r="Q7" s="14">
        <v>1.0</v>
      </c>
      <c r="R7" s="14">
        <v>4.0</v>
      </c>
      <c r="S7" s="14">
        <v>10.0</v>
      </c>
      <c r="T7" s="14">
        <v>80.0</v>
      </c>
      <c r="U7" s="14">
        <v>4.0</v>
      </c>
      <c r="V7" s="12" t="str">
        <f t="shared" si="3"/>
        <v>geoverallgeVisual_NetworkVisual_Network</v>
      </c>
      <c r="W7" s="12" t="str">
        <f t="shared" si="4"/>
        <v>geoverallgeVisual_Network</v>
      </c>
    </row>
    <row r="8" hidden="1">
      <c r="A8" s="13">
        <v>96.0</v>
      </c>
      <c r="B8" s="14" t="s">
        <v>23</v>
      </c>
      <c r="C8" s="14" t="s">
        <v>24</v>
      </c>
      <c r="D8" s="14" t="s">
        <v>26</v>
      </c>
      <c r="E8" s="15" t="s">
        <v>24</v>
      </c>
      <c r="F8" s="14" t="s">
        <v>25</v>
      </c>
      <c r="G8" s="16"/>
      <c r="H8" s="16"/>
      <c r="I8" s="17"/>
      <c r="J8" s="10" t="str">
        <f t="shared" si="1"/>
        <v/>
      </c>
      <c r="K8" s="10" t="str">
        <f t="shared" si="2"/>
        <v/>
      </c>
      <c r="L8" s="18">
        <v>1089.5257871151</v>
      </c>
      <c r="M8" s="18">
        <v>35.1459931327451</v>
      </c>
      <c r="N8" s="14">
        <v>30.0</v>
      </c>
      <c r="O8" s="19"/>
      <c r="P8" s="19"/>
      <c r="Q8" s="21"/>
      <c r="R8" s="21"/>
      <c r="S8" s="14">
        <v>10.0</v>
      </c>
      <c r="T8" s="14">
        <v>80.0</v>
      </c>
      <c r="U8" s="14">
        <v>4.0</v>
      </c>
      <c r="V8" s="12" t="str">
        <f t="shared" si="3"/>
        <v>geoverallmodularityoverallVisual_Network</v>
      </c>
      <c r="W8" s="12" t="str">
        <f t="shared" si="4"/>
        <v>geoverallmodularityoverall</v>
      </c>
    </row>
    <row r="9">
      <c r="A9" s="13">
        <v>98.0</v>
      </c>
      <c r="B9" s="14" t="s">
        <v>23</v>
      </c>
      <c r="C9" s="14" t="s">
        <v>24</v>
      </c>
      <c r="D9" s="14" t="s">
        <v>23</v>
      </c>
      <c r="E9" s="15" t="s">
        <v>25</v>
      </c>
      <c r="F9" s="14" t="s">
        <v>25</v>
      </c>
      <c r="G9" s="22">
        <v>0.0177216085738507</v>
      </c>
      <c r="H9" s="22">
        <v>0.00590720295539106</v>
      </c>
      <c r="I9" s="23">
        <v>5.37616231626088</v>
      </c>
      <c r="J9" s="10">
        <f t="shared" si="1"/>
        <v>0.003296330641</v>
      </c>
      <c r="K9" s="10">
        <f t="shared" si="2"/>
        <v>0.001098776898</v>
      </c>
      <c r="L9" s="18">
        <v>30.4242787361145</v>
      </c>
      <c r="M9" s="18">
        <v>15.2121393680572</v>
      </c>
      <c r="N9" s="14">
        <v>2.0</v>
      </c>
      <c r="O9" s="18">
        <v>138.436563014984</v>
      </c>
      <c r="P9" s="18">
        <v>69.2182815074921</v>
      </c>
      <c r="Q9" s="14">
        <v>2.0</v>
      </c>
      <c r="R9" s="14">
        <v>4.0</v>
      </c>
      <c r="S9" s="14">
        <v>10.0</v>
      </c>
      <c r="T9" s="14">
        <v>80.0</v>
      </c>
      <c r="U9" s="14">
        <v>4.0</v>
      </c>
      <c r="V9" s="12" t="str">
        <f t="shared" si="3"/>
        <v>geoverallgeVisual_NetworkVisual_Network</v>
      </c>
      <c r="W9" s="12" t="str">
        <f t="shared" si="4"/>
        <v>geoverallgeVisual_Network</v>
      </c>
    </row>
    <row r="10">
      <c r="A10" s="13">
        <v>99.0</v>
      </c>
      <c r="B10" s="14" t="s">
        <v>23</v>
      </c>
      <c r="C10" s="14" t="s">
        <v>24</v>
      </c>
      <c r="D10" s="14" t="s">
        <v>23</v>
      </c>
      <c r="E10" s="15" t="s">
        <v>25</v>
      </c>
      <c r="F10" s="21"/>
      <c r="G10" s="22">
        <v>1.20795149012364E-10</v>
      </c>
      <c r="H10" s="22">
        <v>1.18243627662033E-10</v>
      </c>
      <c r="I10" s="23">
        <v>4.08489110127273</v>
      </c>
      <c r="J10" s="10">
        <f t="shared" si="1"/>
        <v>0</v>
      </c>
      <c r="K10" s="10">
        <f t="shared" si="2"/>
        <v>0</v>
      </c>
      <c r="L10" s="18">
        <v>185.210376977921</v>
      </c>
      <c r="M10" s="18">
        <v>26.4586252825601</v>
      </c>
      <c r="N10" s="14">
        <v>7.0</v>
      </c>
      <c r="O10" s="18">
        <v>246.864217042923</v>
      </c>
      <c r="P10" s="18">
        <v>82.288072347641</v>
      </c>
      <c r="Q10" s="14">
        <v>3.0</v>
      </c>
      <c r="R10" s="14">
        <v>4.0</v>
      </c>
      <c r="S10" s="14">
        <v>10.0</v>
      </c>
      <c r="T10" s="14">
        <v>80.0</v>
      </c>
      <c r="U10" s="14">
        <v>4.0</v>
      </c>
      <c r="V10" s="12" t="str">
        <f t="shared" si="3"/>
        <v>geoverallgeVisual_Network</v>
      </c>
      <c r="W10" s="12" t="str">
        <f t="shared" si="4"/>
        <v>geoverallgeVisual_Network</v>
      </c>
    </row>
    <row r="11" hidden="1">
      <c r="A11" s="13">
        <v>99.0</v>
      </c>
      <c r="B11" s="14" t="s">
        <v>23</v>
      </c>
      <c r="C11" s="14" t="s">
        <v>24</v>
      </c>
      <c r="D11" s="14" t="s">
        <v>26</v>
      </c>
      <c r="E11" s="15" t="s">
        <v>24</v>
      </c>
      <c r="F11" s="21"/>
      <c r="G11" s="16"/>
      <c r="H11" s="16"/>
      <c r="I11" s="17"/>
      <c r="J11" s="10" t="str">
        <f t="shared" si="1"/>
        <v/>
      </c>
      <c r="K11" s="10" t="str">
        <f t="shared" si="2"/>
        <v/>
      </c>
      <c r="L11" s="18">
        <v>148.463907003403</v>
      </c>
      <c r="M11" s="18">
        <v>24.7439845005671</v>
      </c>
      <c r="N11" s="14">
        <v>6.0</v>
      </c>
      <c r="O11" s="19"/>
      <c r="P11" s="19"/>
      <c r="Q11" s="21"/>
      <c r="R11" s="21"/>
      <c r="S11" s="14">
        <v>10.0</v>
      </c>
      <c r="T11" s="14">
        <v>80.0</v>
      </c>
      <c r="U11" s="14">
        <v>4.0</v>
      </c>
      <c r="V11" s="12" t="str">
        <f t="shared" si="3"/>
        <v>geoverallmodularityoverall</v>
      </c>
      <c r="W11" s="12" t="str">
        <f t="shared" si="4"/>
        <v>geoverallmodularityoverall</v>
      </c>
    </row>
    <row r="12">
      <c r="A12" s="13">
        <v>99.0</v>
      </c>
      <c r="B12" s="14" t="s">
        <v>23</v>
      </c>
      <c r="C12" s="14" t="s">
        <v>24</v>
      </c>
      <c r="D12" s="14" t="s">
        <v>23</v>
      </c>
      <c r="E12" s="15" t="s">
        <v>27</v>
      </c>
      <c r="F12" s="21"/>
      <c r="G12" s="22">
        <v>0.11090014766819</v>
      </c>
      <c r="H12" s="22">
        <v>0.0369667159671692</v>
      </c>
      <c r="I12" s="23">
        <v>3.90016823668486</v>
      </c>
      <c r="J12" s="10">
        <f t="shared" si="1"/>
        <v>0.02843470869</v>
      </c>
      <c r="K12" s="10">
        <f t="shared" si="2"/>
        <v>0.009478236251</v>
      </c>
      <c r="L12" s="18">
        <v>293.895074129105</v>
      </c>
      <c r="M12" s="18">
        <v>29.3895074129105</v>
      </c>
      <c r="N12" s="14">
        <v>10.0</v>
      </c>
      <c r="O12" s="18">
        <v>553.139830112457</v>
      </c>
      <c r="P12" s="18">
        <v>92.1899716854095</v>
      </c>
      <c r="Q12" s="14">
        <v>6.0</v>
      </c>
      <c r="R12" s="14">
        <v>4.0</v>
      </c>
      <c r="S12" s="14">
        <v>10.0</v>
      </c>
      <c r="T12" s="14">
        <v>80.0</v>
      </c>
      <c r="U12" s="14">
        <v>4.0</v>
      </c>
      <c r="V12" s="12" t="str">
        <f t="shared" si="3"/>
        <v>geoverallgeMultiple_Demand_Extended_Network</v>
      </c>
      <c r="W12" s="12" t="str">
        <f t="shared" si="4"/>
        <v>geoverallgeMultiple_Demand_Extended_Network</v>
      </c>
    </row>
    <row r="13">
      <c r="A13" s="13">
        <v>100.0</v>
      </c>
      <c r="B13" s="14" t="s">
        <v>23</v>
      </c>
      <c r="C13" s="14" t="s">
        <v>24</v>
      </c>
      <c r="D13" s="14" t="s">
        <v>23</v>
      </c>
      <c r="E13" s="15" t="s">
        <v>25</v>
      </c>
      <c r="F13" s="14" t="s">
        <v>25</v>
      </c>
      <c r="G13" s="22">
        <v>2.15043349129198E-10</v>
      </c>
      <c r="H13" s="22">
        <v>2.15043349129198E-10</v>
      </c>
      <c r="I13" s="23">
        <v>0.0</v>
      </c>
      <c r="J13" s="10" t="str">
        <f t="shared" si="1"/>
        <v/>
      </c>
      <c r="K13" s="10" t="str">
        <f t="shared" si="2"/>
        <v/>
      </c>
      <c r="L13" s="18">
        <v>117.44479393959</v>
      </c>
      <c r="M13" s="18">
        <v>23.4889587879181</v>
      </c>
      <c r="N13" s="14">
        <v>5.0</v>
      </c>
      <c r="O13" s="18">
        <v>83.5185189247131</v>
      </c>
      <c r="P13" s="18">
        <v>83.5185189247131</v>
      </c>
      <c r="Q13" s="14">
        <v>1.0</v>
      </c>
      <c r="R13" s="14">
        <v>4.0</v>
      </c>
      <c r="S13" s="14">
        <v>10.0</v>
      </c>
      <c r="T13" s="14">
        <v>80.0</v>
      </c>
      <c r="U13" s="14">
        <v>4.0</v>
      </c>
      <c r="V13" s="12" t="str">
        <f t="shared" si="3"/>
        <v>geoverallgeVisual_NetworkVisual_Network</v>
      </c>
      <c r="W13" s="12" t="str">
        <f t="shared" si="4"/>
        <v>geoverallgeVisual_Network</v>
      </c>
    </row>
    <row r="14" hidden="1">
      <c r="A14" s="13">
        <v>100.0</v>
      </c>
      <c r="B14" s="14" t="s">
        <v>23</v>
      </c>
      <c r="C14" s="14" t="s">
        <v>24</v>
      </c>
      <c r="D14" s="14" t="s">
        <v>26</v>
      </c>
      <c r="E14" s="15" t="s">
        <v>24</v>
      </c>
      <c r="F14" s="14" t="s">
        <v>25</v>
      </c>
      <c r="G14" s="16"/>
      <c r="H14" s="16"/>
      <c r="I14" s="17"/>
      <c r="J14" s="10" t="str">
        <f t="shared" si="1"/>
        <v/>
      </c>
      <c r="K14" s="10" t="str">
        <f t="shared" si="2"/>
        <v/>
      </c>
      <c r="L14" s="18">
        <v>269.419993162155</v>
      </c>
      <c r="M14" s="18">
        <v>26.9419993162155</v>
      </c>
      <c r="N14" s="14">
        <v>10.0</v>
      </c>
      <c r="O14" s="19"/>
      <c r="P14" s="19"/>
      <c r="Q14" s="20"/>
      <c r="R14" s="20"/>
      <c r="S14" s="14">
        <v>10.0</v>
      </c>
      <c r="T14" s="14">
        <v>80.0</v>
      </c>
      <c r="U14" s="14">
        <v>4.0</v>
      </c>
      <c r="V14" s="12" t="str">
        <f t="shared" si="3"/>
        <v>geoverallmodularityoverallVisual_Network</v>
      </c>
      <c r="W14" s="12" t="str">
        <f t="shared" si="4"/>
        <v>geoverallmodularityoverall</v>
      </c>
    </row>
    <row r="15">
      <c r="A15" s="13">
        <v>102.0</v>
      </c>
      <c r="B15" s="14" t="s">
        <v>23</v>
      </c>
      <c r="C15" s="14" t="s">
        <v>24</v>
      </c>
      <c r="D15" s="14" t="s">
        <v>23</v>
      </c>
      <c r="E15" s="15" t="s">
        <v>25</v>
      </c>
      <c r="F15" s="21"/>
      <c r="G15" s="22">
        <v>1.67140650415392E-10</v>
      </c>
      <c r="H15" s="22">
        <v>1.67140650415392E-10</v>
      </c>
      <c r="I15" s="23">
        <v>0.0</v>
      </c>
      <c r="J15" s="10" t="str">
        <f t="shared" si="1"/>
        <v/>
      </c>
      <c r="K15" s="10" t="str">
        <f t="shared" si="2"/>
        <v/>
      </c>
      <c r="L15" s="18">
        <v>64.0269191265106</v>
      </c>
      <c r="M15" s="18">
        <v>21.3423063755035</v>
      </c>
      <c r="N15" s="14">
        <v>3.0</v>
      </c>
      <c r="O15" s="18">
        <v>79.1825969219208</v>
      </c>
      <c r="P15" s="18">
        <v>79.1825969219208</v>
      </c>
      <c r="Q15" s="14">
        <v>1.0</v>
      </c>
      <c r="R15" s="14">
        <v>4.0</v>
      </c>
      <c r="S15" s="14">
        <v>10.0</v>
      </c>
      <c r="T15" s="14">
        <v>80.0</v>
      </c>
      <c r="U15" s="14">
        <v>4.0</v>
      </c>
      <c r="V15" s="12" t="str">
        <f t="shared" si="3"/>
        <v>geoverallgeVisual_Network</v>
      </c>
      <c r="W15" s="12" t="str">
        <f t="shared" si="4"/>
        <v>geoverallgeVisual_Network</v>
      </c>
    </row>
    <row r="16" hidden="1">
      <c r="A16" s="13">
        <v>102.0</v>
      </c>
      <c r="B16" s="14" t="s">
        <v>23</v>
      </c>
      <c r="C16" s="14" t="s">
        <v>24</v>
      </c>
      <c r="D16" s="14" t="s">
        <v>26</v>
      </c>
      <c r="E16" s="15" t="s">
        <v>24</v>
      </c>
      <c r="F16" s="21"/>
      <c r="G16" s="16"/>
      <c r="H16" s="16"/>
      <c r="I16" s="17"/>
      <c r="J16" s="10" t="str">
        <f t="shared" si="1"/>
        <v/>
      </c>
      <c r="K16" s="10" t="str">
        <f t="shared" si="2"/>
        <v/>
      </c>
      <c r="L16" s="18">
        <v>61.5981998443604</v>
      </c>
      <c r="M16" s="18">
        <v>20.5327332814534</v>
      </c>
      <c r="N16" s="14">
        <v>3.0</v>
      </c>
      <c r="O16" s="19"/>
      <c r="P16" s="19"/>
      <c r="Q16" s="20"/>
      <c r="R16" s="21"/>
      <c r="S16" s="14">
        <v>10.0</v>
      </c>
      <c r="T16" s="14">
        <v>80.0</v>
      </c>
      <c r="U16" s="14">
        <v>4.0</v>
      </c>
      <c r="V16" s="12" t="str">
        <f t="shared" si="3"/>
        <v>geoverallmodularityoverall</v>
      </c>
      <c r="W16" s="12" t="str">
        <f t="shared" si="4"/>
        <v>geoverallmodularityoverall</v>
      </c>
    </row>
    <row r="17">
      <c r="A17" s="13">
        <v>102.0</v>
      </c>
      <c r="B17" s="14" t="s">
        <v>23</v>
      </c>
      <c r="C17" s="14" t="s">
        <v>24</v>
      </c>
      <c r="D17" s="14" t="s">
        <v>23</v>
      </c>
      <c r="E17" s="15" t="s">
        <v>27</v>
      </c>
      <c r="F17" s="21"/>
      <c r="G17" s="22">
        <v>0.0407131586792815</v>
      </c>
      <c r="H17" s="22">
        <v>0.020356579423217</v>
      </c>
      <c r="I17" s="23">
        <v>0.774899333388007</v>
      </c>
      <c r="J17" s="10">
        <f t="shared" si="1"/>
        <v>0.05253993251</v>
      </c>
      <c r="K17" s="10">
        <f t="shared" si="2"/>
        <v>0.02626996636</v>
      </c>
      <c r="L17" s="18">
        <v>154.233332157135</v>
      </c>
      <c r="M17" s="18">
        <v>25.7055553595225</v>
      </c>
      <c r="N17" s="14">
        <v>6.0</v>
      </c>
      <c r="O17" s="18">
        <v>454.354659080505</v>
      </c>
      <c r="P17" s="18">
        <v>75.7257765134176</v>
      </c>
      <c r="Q17" s="14">
        <v>6.0</v>
      </c>
      <c r="R17" s="14">
        <v>4.0</v>
      </c>
      <c r="S17" s="14">
        <v>10.0</v>
      </c>
      <c r="T17" s="14">
        <v>80.0</v>
      </c>
      <c r="U17" s="14">
        <v>4.0</v>
      </c>
      <c r="V17" s="12" t="str">
        <f t="shared" si="3"/>
        <v>geoverallgeMultiple_Demand_Extended_Network</v>
      </c>
      <c r="W17" s="12" t="str">
        <f t="shared" si="4"/>
        <v>geoverallgeMultiple_Demand_Extended_Network</v>
      </c>
    </row>
    <row r="18">
      <c r="A18" s="13">
        <v>103.0</v>
      </c>
      <c r="B18" s="14" t="s">
        <v>23</v>
      </c>
      <c r="C18" s="14" t="s">
        <v>24</v>
      </c>
      <c r="D18" s="14" t="s">
        <v>23</v>
      </c>
      <c r="E18" s="15" t="s">
        <v>25</v>
      </c>
      <c r="F18" s="14" t="s">
        <v>27</v>
      </c>
      <c r="G18" s="22">
        <v>1.70708074892755E-10</v>
      </c>
      <c r="H18" s="22">
        <v>1.70708074892755E-10</v>
      </c>
      <c r="I18" s="23">
        <v>0.0</v>
      </c>
      <c r="J18" s="10" t="str">
        <f t="shared" si="1"/>
        <v/>
      </c>
      <c r="K18" s="10" t="str">
        <f t="shared" si="2"/>
        <v/>
      </c>
      <c r="L18" s="18">
        <v>137.902366161346</v>
      </c>
      <c r="M18" s="18">
        <v>22.9837276935577</v>
      </c>
      <c r="N18" s="14">
        <v>6.0</v>
      </c>
      <c r="O18" s="18">
        <v>69.7822909355164</v>
      </c>
      <c r="P18" s="18">
        <v>69.7822909355164</v>
      </c>
      <c r="Q18" s="14">
        <v>1.0</v>
      </c>
      <c r="R18" s="14">
        <v>4.0</v>
      </c>
      <c r="S18" s="14">
        <v>10.0</v>
      </c>
      <c r="T18" s="14">
        <v>80.0</v>
      </c>
      <c r="U18" s="14">
        <v>4.0</v>
      </c>
      <c r="V18" s="12" t="str">
        <f t="shared" si="3"/>
        <v>geoverallgeVisual_NetworkMultiple_Demand_Extended_Network</v>
      </c>
      <c r="W18" s="12" t="str">
        <f t="shared" si="4"/>
        <v>geoverallgeVisual_Network</v>
      </c>
    </row>
    <row r="19" hidden="1">
      <c r="A19" s="13">
        <v>103.0</v>
      </c>
      <c r="B19" s="14" t="s">
        <v>23</v>
      </c>
      <c r="C19" s="14" t="s">
        <v>24</v>
      </c>
      <c r="D19" s="14" t="s">
        <v>26</v>
      </c>
      <c r="E19" s="15" t="s">
        <v>24</v>
      </c>
      <c r="F19" s="14" t="s">
        <v>27</v>
      </c>
      <c r="G19" s="16"/>
      <c r="H19" s="16"/>
      <c r="I19" s="17"/>
      <c r="J19" s="10" t="str">
        <f t="shared" si="1"/>
        <v/>
      </c>
      <c r="K19" s="10" t="str">
        <f t="shared" si="2"/>
        <v/>
      </c>
      <c r="L19" s="18">
        <v>208.101317167282</v>
      </c>
      <c r="M19" s="18">
        <v>26.0126646459103</v>
      </c>
      <c r="N19" s="14">
        <v>8.0</v>
      </c>
      <c r="O19" s="19"/>
      <c r="P19" s="19"/>
      <c r="Q19" s="21"/>
      <c r="R19" s="20"/>
      <c r="S19" s="14">
        <v>10.0</v>
      </c>
      <c r="T19" s="14">
        <v>80.0</v>
      </c>
      <c r="U19" s="14">
        <v>4.0</v>
      </c>
      <c r="V19" s="12" t="str">
        <f t="shared" si="3"/>
        <v>geoverallmodularityoverallMultiple_Demand_Extended_Network</v>
      </c>
      <c r="W19" s="12" t="str">
        <f t="shared" si="4"/>
        <v>geoverallmodularityoverall</v>
      </c>
    </row>
    <row r="20">
      <c r="A20" s="13">
        <v>103.0</v>
      </c>
      <c r="B20" s="14" t="s">
        <v>23</v>
      </c>
      <c r="C20" s="14" t="s">
        <v>24</v>
      </c>
      <c r="D20" s="14" t="s">
        <v>23</v>
      </c>
      <c r="E20" s="15" t="s">
        <v>27</v>
      </c>
      <c r="F20" s="14" t="s">
        <v>27</v>
      </c>
      <c r="G20" s="22">
        <v>0.0352740645115972</v>
      </c>
      <c r="H20" s="22">
        <v>0.0176370323402002</v>
      </c>
      <c r="I20" s="23">
        <v>4.95173017301476</v>
      </c>
      <c r="J20" s="10">
        <f t="shared" si="1"/>
        <v>0.007123583733</v>
      </c>
      <c r="K20" s="10">
        <f t="shared" si="2"/>
        <v>0.003561791884</v>
      </c>
      <c r="L20" s="18">
        <v>84.1584680080414</v>
      </c>
      <c r="M20" s="18">
        <v>21.0396170020103</v>
      </c>
      <c r="N20" s="14">
        <v>4.0</v>
      </c>
      <c r="O20" s="18">
        <v>304.67852807045</v>
      </c>
      <c r="P20" s="18">
        <v>76.1696320176125</v>
      </c>
      <c r="Q20" s="14">
        <v>4.0</v>
      </c>
      <c r="R20" s="14">
        <v>4.0</v>
      </c>
      <c r="S20" s="14">
        <v>10.0</v>
      </c>
      <c r="T20" s="14">
        <v>80.0</v>
      </c>
      <c r="U20" s="14">
        <v>4.0</v>
      </c>
      <c r="V20" s="12" t="str">
        <f t="shared" si="3"/>
        <v>geoverallgeMultiple_Demand_Extended_NetworkMultiple_Demand_Extended_Network</v>
      </c>
      <c r="W20" s="12" t="str">
        <f t="shared" si="4"/>
        <v>geoverallgeMultiple_Demand_Extended_Network</v>
      </c>
    </row>
    <row r="21">
      <c r="A21" s="13">
        <v>104.0</v>
      </c>
      <c r="B21" s="14" t="s">
        <v>23</v>
      </c>
      <c r="C21" s="14" t="s">
        <v>24</v>
      </c>
      <c r="D21" s="14" t="s">
        <v>23</v>
      </c>
      <c r="E21" s="15" t="s">
        <v>25</v>
      </c>
      <c r="F21" s="14" t="s">
        <v>25</v>
      </c>
      <c r="G21" s="22">
        <v>1.56206336236025E-10</v>
      </c>
      <c r="H21" s="22">
        <v>1.56206336236025E-10</v>
      </c>
      <c r="I21" s="23">
        <v>0.0</v>
      </c>
      <c r="J21" s="10" t="str">
        <f t="shared" si="1"/>
        <v/>
      </c>
      <c r="K21" s="10" t="str">
        <f t="shared" si="2"/>
        <v/>
      </c>
      <c r="L21" s="18">
        <v>51.5365128517151</v>
      </c>
      <c r="M21" s="18">
        <v>17.1788376172384</v>
      </c>
      <c r="N21" s="14">
        <v>3.0</v>
      </c>
      <c r="O21" s="18">
        <v>70.2086741924286</v>
      </c>
      <c r="P21" s="18">
        <v>70.2086741924286</v>
      </c>
      <c r="Q21" s="14">
        <v>1.0</v>
      </c>
      <c r="R21" s="14">
        <v>4.0</v>
      </c>
      <c r="S21" s="14">
        <v>10.0</v>
      </c>
      <c r="T21" s="14">
        <v>80.0</v>
      </c>
      <c r="U21" s="14">
        <v>4.0</v>
      </c>
      <c r="V21" s="12" t="str">
        <f t="shared" si="3"/>
        <v>geoverallgeVisual_NetworkVisual_Network</v>
      </c>
      <c r="W21" s="12" t="str">
        <f t="shared" si="4"/>
        <v>geoverallgeVisual_Network</v>
      </c>
    </row>
    <row r="22" hidden="1">
      <c r="A22" s="13">
        <v>104.0</v>
      </c>
      <c r="B22" s="14" t="s">
        <v>23</v>
      </c>
      <c r="C22" s="14" t="s">
        <v>24</v>
      </c>
      <c r="D22" s="14" t="s">
        <v>26</v>
      </c>
      <c r="E22" s="15" t="s">
        <v>24</v>
      </c>
      <c r="F22" s="14" t="s">
        <v>25</v>
      </c>
      <c r="G22" s="16"/>
      <c r="H22" s="16"/>
      <c r="I22" s="17"/>
      <c r="J22" s="10" t="str">
        <f t="shared" si="1"/>
        <v/>
      </c>
      <c r="K22" s="10" t="str">
        <f t="shared" si="2"/>
        <v/>
      </c>
      <c r="L22" s="18">
        <v>173.889848709106</v>
      </c>
      <c r="M22" s="18">
        <v>21.7362310886383</v>
      </c>
      <c r="N22" s="14">
        <v>8.0</v>
      </c>
      <c r="O22" s="19"/>
      <c r="P22" s="19"/>
      <c r="Q22" s="21"/>
      <c r="R22" s="21"/>
      <c r="S22" s="14">
        <v>10.0</v>
      </c>
      <c r="T22" s="14">
        <v>80.0</v>
      </c>
      <c r="U22" s="14">
        <v>4.0</v>
      </c>
      <c r="V22" s="12" t="str">
        <f t="shared" si="3"/>
        <v>geoverallmodularityoverallVisual_Network</v>
      </c>
      <c r="W22" s="12" t="str">
        <f t="shared" si="4"/>
        <v>geoverallmodularityoverall</v>
      </c>
    </row>
    <row r="23">
      <c r="A23" s="13">
        <v>105.0</v>
      </c>
      <c r="B23" s="14" t="s">
        <v>23</v>
      </c>
      <c r="C23" s="14" t="s">
        <v>24</v>
      </c>
      <c r="D23" s="14" t="s">
        <v>23</v>
      </c>
      <c r="E23" s="15" t="s">
        <v>25</v>
      </c>
      <c r="F23" s="21"/>
      <c r="G23" s="22">
        <v>0.0110271529344885</v>
      </c>
      <c r="H23" s="22">
        <v>0.00367571772272346</v>
      </c>
      <c r="I23" s="23">
        <v>3.2427916175577</v>
      </c>
      <c r="J23" s="10">
        <f t="shared" si="1"/>
        <v>0.003400512347</v>
      </c>
      <c r="K23" s="10">
        <f t="shared" si="2"/>
        <v>0.00113350414</v>
      </c>
      <c r="L23" s="18">
        <v>69.9387140274048</v>
      </c>
      <c r="M23" s="18">
        <v>23.3129046758016</v>
      </c>
      <c r="N23" s="14">
        <v>3.0</v>
      </c>
      <c r="O23" s="18">
        <v>129.013830900192</v>
      </c>
      <c r="P23" s="18">
        <v>64.5069154500961</v>
      </c>
      <c r="Q23" s="14">
        <v>2.0</v>
      </c>
      <c r="R23" s="14">
        <v>4.0</v>
      </c>
      <c r="S23" s="14">
        <v>10.0</v>
      </c>
      <c r="T23" s="14">
        <v>80.0</v>
      </c>
      <c r="U23" s="14">
        <v>4.0</v>
      </c>
      <c r="V23" s="12" t="str">
        <f t="shared" si="3"/>
        <v>geoverallgeVisual_Network</v>
      </c>
      <c r="W23" s="12" t="str">
        <f t="shared" si="4"/>
        <v>geoverallgeVisual_Network</v>
      </c>
    </row>
    <row r="24" hidden="1">
      <c r="A24" s="13">
        <v>105.0</v>
      </c>
      <c r="B24" s="14" t="s">
        <v>23</v>
      </c>
      <c r="C24" s="14" t="s">
        <v>24</v>
      </c>
      <c r="D24" s="14" t="s">
        <v>26</v>
      </c>
      <c r="E24" s="15" t="s">
        <v>24</v>
      </c>
      <c r="F24" s="21"/>
      <c r="G24" s="16"/>
      <c r="H24" s="16"/>
      <c r="I24" s="17"/>
      <c r="J24" s="10" t="str">
        <f t="shared" si="1"/>
        <v/>
      </c>
      <c r="K24" s="10" t="str">
        <f t="shared" si="2"/>
        <v/>
      </c>
      <c r="L24" s="18">
        <v>850.30070400238</v>
      </c>
      <c r="M24" s="18">
        <v>40.4905097143991</v>
      </c>
      <c r="N24" s="14">
        <v>21.0</v>
      </c>
      <c r="O24" s="19"/>
      <c r="P24" s="19"/>
      <c r="Q24" s="20"/>
      <c r="R24" s="21"/>
      <c r="S24" s="14">
        <v>10.0</v>
      </c>
      <c r="T24" s="14">
        <v>80.0</v>
      </c>
      <c r="U24" s="14">
        <v>4.0</v>
      </c>
      <c r="V24" s="12" t="str">
        <f t="shared" si="3"/>
        <v>geoverallmodularityoverall</v>
      </c>
      <c r="W24" s="12" t="str">
        <f t="shared" si="4"/>
        <v>geoverallmodularityoverall</v>
      </c>
    </row>
    <row r="25" hidden="1">
      <c r="A25" s="13">
        <v>106.0</v>
      </c>
      <c r="B25" s="14" t="s">
        <v>23</v>
      </c>
      <c r="C25" s="14" t="s">
        <v>24</v>
      </c>
      <c r="D25" s="14" t="s">
        <v>26</v>
      </c>
      <c r="E25" s="15" t="s">
        <v>24</v>
      </c>
      <c r="F25" s="14" t="s">
        <v>27</v>
      </c>
      <c r="G25" s="16"/>
      <c r="H25" s="16"/>
      <c r="I25" s="17"/>
      <c r="J25" s="10" t="str">
        <f t="shared" si="1"/>
        <v/>
      </c>
      <c r="K25" s="10" t="str">
        <f t="shared" si="2"/>
        <v/>
      </c>
      <c r="L25" s="18">
        <v>118.781543970108</v>
      </c>
      <c r="M25" s="18">
        <v>23.7563087940216</v>
      </c>
      <c r="N25" s="14">
        <v>5.0</v>
      </c>
      <c r="O25" s="19"/>
      <c r="P25" s="19"/>
      <c r="Q25" s="21"/>
      <c r="R25" s="20"/>
      <c r="S25" s="14">
        <v>10.0</v>
      </c>
      <c r="T25" s="14">
        <v>80.0</v>
      </c>
      <c r="U25" s="14">
        <v>4.0</v>
      </c>
      <c r="V25" s="12" t="str">
        <f t="shared" si="3"/>
        <v>geoverallmodularityoverallMultiple_Demand_Extended_Network</v>
      </c>
      <c r="W25" s="12" t="str">
        <f t="shared" si="4"/>
        <v>geoverallmodularityoverall</v>
      </c>
    </row>
    <row r="26">
      <c r="A26" s="13">
        <v>107.0</v>
      </c>
      <c r="B26" s="14" t="s">
        <v>23</v>
      </c>
      <c r="C26" s="14" t="s">
        <v>24</v>
      </c>
      <c r="D26" s="14" t="s">
        <v>23</v>
      </c>
      <c r="E26" s="15" t="s">
        <v>25</v>
      </c>
      <c r="F26" s="14" t="s">
        <v>25</v>
      </c>
      <c r="G26" s="22">
        <v>0.21568763044814</v>
      </c>
      <c r="H26" s="22">
        <v>0.0539219077427275</v>
      </c>
      <c r="I26" s="23">
        <v>6.22331209610477</v>
      </c>
      <c r="J26" s="10">
        <f t="shared" si="1"/>
        <v>0.03465801283</v>
      </c>
      <c r="K26" s="10">
        <f t="shared" si="2"/>
        <v>0.008664503228</v>
      </c>
      <c r="L26" s="18">
        <v>211.382291078568</v>
      </c>
      <c r="M26" s="18">
        <v>23.4869212309519</v>
      </c>
      <c r="N26" s="14">
        <v>9.0</v>
      </c>
      <c r="O26" s="18">
        <v>1001.05353021622</v>
      </c>
      <c r="P26" s="18">
        <v>100.105353021622</v>
      </c>
      <c r="Q26" s="14">
        <v>10.0</v>
      </c>
      <c r="R26" s="14">
        <v>4.0</v>
      </c>
      <c r="S26" s="14">
        <v>10.0</v>
      </c>
      <c r="T26" s="14">
        <v>80.0</v>
      </c>
      <c r="U26" s="14">
        <v>4.0</v>
      </c>
      <c r="V26" s="12" t="str">
        <f t="shared" si="3"/>
        <v>geoverallgeVisual_NetworkVisual_Network</v>
      </c>
      <c r="W26" s="12" t="str">
        <f t="shared" si="4"/>
        <v>geoverallgeVisual_Network</v>
      </c>
    </row>
    <row r="27" hidden="1">
      <c r="A27" s="13">
        <v>107.0</v>
      </c>
      <c r="B27" s="14" t="s">
        <v>23</v>
      </c>
      <c r="C27" s="14" t="s">
        <v>24</v>
      </c>
      <c r="D27" s="14" t="s">
        <v>26</v>
      </c>
      <c r="E27" s="15" t="s">
        <v>24</v>
      </c>
      <c r="F27" s="14" t="s">
        <v>25</v>
      </c>
      <c r="G27" s="16"/>
      <c r="H27" s="16"/>
      <c r="I27" s="17"/>
      <c r="J27" s="10" t="str">
        <f t="shared" si="1"/>
        <v/>
      </c>
      <c r="K27" s="10" t="str">
        <f t="shared" si="2"/>
        <v/>
      </c>
      <c r="L27" s="18">
        <v>61.644348859787</v>
      </c>
      <c r="M27" s="18">
        <v>20.5481162865957</v>
      </c>
      <c r="N27" s="14">
        <v>3.0</v>
      </c>
      <c r="O27" s="19"/>
      <c r="P27" s="19"/>
      <c r="Q27" s="21"/>
      <c r="R27" s="21"/>
      <c r="S27" s="14">
        <v>10.0</v>
      </c>
      <c r="T27" s="14">
        <v>80.0</v>
      </c>
      <c r="U27" s="14">
        <v>4.0</v>
      </c>
      <c r="V27" s="12" t="str">
        <f t="shared" si="3"/>
        <v>geoverallmodularityoverallVisual_Network</v>
      </c>
      <c r="W27" s="12" t="str">
        <f t="shared" si="4"/>
        <v>geoverallmodularityoverall</v>
      </c>
    </row>
    <row r="28">
      <c r="A28" s="13">
        <v>108.0</v>
      </c>
      <c r="B28" s="14" t="s">
        <v>23</v>
      </c>
      <c r="C28" s="14" t="s">
        <v>24</v>
      </c>
      <c r="D28" s="14" t="s">
        <v>23</v>
      </c>
      <c r="E28" s="15" t="s">
        <v>25</v>
      </c>
      <c r="F28" s="21"/>
      <c r="G28" s="22">
        <v>1.12820835678416E-10</v>
      </c>
      <c r="H28" s="22">
        <v>1.12806496003716E-10</v>
      </c>
      <c r="I28" s="23">
        <v>3.77178738783627</v>
      </c>
      <c r="J28" s="10">
        <f t="shared" si="1"/>
        <v>0</v>
      </c>
      <c r="K28" s="10">
        <f t="shared" si="2"/>
        <v>0</v>
      </c>
      <c r="L28" s="18">
        <v>224.799131155014</v>
      </c>
      <c r="M28" s="18">
        <v>24.977681239446</v>
      </c>
      <c r="N28" s="14">
        <v>9.0</v>
      </c>
      <c r="O28" s="18">
        <v>71.1789801120758</v>
      </c>
      <c r="P28" s="18">
        <v>71.1789801120758</v>
      </c>
      <c r="Q28" s="14">
        <v>1.0</v>
      </c>
      <c r="R28" s="14">
        <v>4.0</v>
      </c>
      <c r="S28" s="14">
        <v>10.0</v>
      </c>
      <c r="T28" s="14">
        <v>80.0</v>
      </c>
      <c r="U28" s="14">
        <v>4.0</v>
      </c>
      <c r="V28" s="12" t="str">
        <f t="shared" si="3"/>
        <v>geoverallgeVisual_Network</v>
      </c>
      <c r="W28" s="12" t="str">
        <f t="shared" si="4"/>
        <v>geoverallgeVisual_Network</v>
      </c>
    </row>
    <row r="29" hidden="1">
      <c r="A29" s="13">
        <v>108.0</v>
      </c>
      <c r="B29" s="14" t="s">
        <v>23</v>
      </c>
      <c r="C29" s="14" t="s">
        <v>24</v>
      </c>
      <c r="D29" s="14" t="s">
        <v>26</v>
      </c>
      <c r="E29" s="15" t="s">
        <v>24</v>
      </c>
      <c r="F29" s="21"/>
      <c r="G29" s="16"/>
      <c r="H29" s="16"/>
      <c r="I29" s="17"/>
      <c r="J29" s="10" t="str">
        <f t="shared" si="1"/>
        <v/>
      </c>
      <c r="K29" s="10" t="str">
        <f t="shared" si="2"/>
        <v/>
      </c>
      <c r="L29" s="18">
        <v>36.5027871131897</v>
      </c>
      <c r="M29" s="18">
        <v>18.2513935565948</v>
      </c>
      <c r="N29" s="14">
        <v>2.0</v>
      </c>
      <c r="O29" s="19"/>
      <c r="P29" s="19"/>
      <c r="Q29" s="21"/>
      <c r="R29" s="20"/>
      <c r="S29" s="14">
        <v>10.0</v>
      </c>
      <c r="T29" s="14">
        <v>80.0</v>
      </c>
      <c r="U29" s="14">
        <v>4.0</v>
      </c>
      <c r="V29" s="12" t="str">
        <f t="shared" si="3"/>
        <v>geoverallmodularityoverall</v>
      </c>
      <c r="W29" s="12" t="str">
        <f t="shared" si="4"/>
        <v>geoverallmodularityoverall</v>
      </c>
    </row>
    <row r="30">
      <c r="A30" s="13">
        <v>108.0</v>
      </c>
      <c r="B30" s="14" t="s">
        <v>23</v>
      </c>
      <c r="C30" s="14" t="s">
        <v>24</v>
      </c>
      <c r="D30" s="14" t="s">
        <v>23</v>
      </c>
      <c r="E30" s="15" t="s">
        <v>27</v>
      </c>
      <c r="F30" s="21"/>
      <c r="G30" s="22">
        <v>1.12831002374819E-10</v>
      </c>
      <c r="H30" s="22">
        <v>1.12831002374819E-10</v>
      </c>
      <c r="I30" s="23">
        <v>0.0</v>
      </c>
      <c r="J30" s="10" t="str">
        <f t="shared" si="1"/>
        <v/>
      </c>
      <c r="K30" s="10" t="str">
        <f t="shared" si="2"/>
        <v/>
      </c>
      <c r="L30" s="18">
        <v>33.8138461112976</v>
      </c>
      <c r="M30" s="18">
        <v>16.9069230556488</v>
      </c>
      <c r="N30" s="14">
        <v>2.0</v>
      </c>
      <c r="O30" s="18">
        <v>70.1131479740143</v>
      </c>
      <c r="P30" s="18">
        <v>70.1131479740143</v>
      </c>
      <c r="Q30" s="14">
        <v>1.0</v>
      </c>
      <c r="R30" s="14">
        <v>4.0</v>
      </c>
      <c r="S30" s="14">
        <v>10.0</v>
      </c>
      <c r="T30" s="14">
        <v>80.0</v>
      </c>
      <c r="U30" s="14">
        <v>4.0</v>
      </c>
      <c r="V30" s="12" t="str">
        <f t="shared" si="3"/>
        <v>geoverallgeMultiple_Demand_Extended_Network</v>
      </c>
      <c r="W30" s="12" t="str">
        <f t="shared" si="4"/>
        <v>geoverallgeMultiple_Demand_Extended_Network</v>
      </c>
    </row>
    <row r="31">
      <c r="A31" s="13">
        <v>109.0</v>
      </c>
      <c r="B31" s="14" t="s">
        <v>23</v>
      </c>
      <c r="C31" s="14" t="s">
        <v>24</v>
      </c>
      <c r="D31" s="14" t="s">
        <v>23</v>
      </c>
      <c r="E31" s="15" t="s">
        <v>25</v>
      </c>
      <c r="F31" s="14" t="s">
        <v>27</v>
      </c>
      <c r="G31" s="22">
        <v>0.0350272643249667</v>
      </c>
      <c r="H31" s="22">
        <v>0.0136480107483652</v>
      </c>
      <c r="I31" s="23">
        <v>9.95965990665474</v>
      </c>
      <c r="J31" s="10">
        <f t="shared" si="1"/>
        <v>0.003516913695</v>
      </c>
      <c r="K31" s="10">
        <f t="shared" si="2"/>
        <v>0.001370328995</v>
      </c>
      <c r="L31" s="18">
        <v>345.820734024048</v>
      </c>
      <c r="M31" s="18">
        <v>26.6015949249268</v>
      </c>
      <c r="N31" s="14">
        <v>13.0</v>
      </c>
      <c r="O31" s="18">
        <v>1667.44662904739</v>
      </c>
      <c r="P31" s="18">
        <v>92.6359238359663</v>
      </c>
      <c r="Q31" s="14">
        <v>18.0</v>
      </c>
      <c r="R31" s="14">
        <v>4.0</v>
      </c>
      <c r="S31" s="14">
        <v>10.0</v>
      </c>
      <c r="T31" s="14">
        <v>80.0</v>
      </c>
      <c r="U31" s="14">
        <v>4.0</v>
      </c>
      <c r="V31" s="12" t="str">
        <f t="shared" si="3"/>
        <v>geoverallgeVisual_NetworkMultiple_Demand_Extended_Network</v>
      </c>
      <c r="W31" s="12" t="str">
        <f t="shared" si="4"/>
        <v>geoverallgeVisual_Network</v>
      </c>
    </row>
    <row r="32" hidden="1">
      <c r="A32" s="13">
        <v>109.0</v>
      </c>
      <c r="B32" s="14" t="s">
        <v>23</v>
      </c>
      <c r="C32" s="14" t="s">
        <v>24</v>
      </c>
      <c r="D32" s="14" t="s">
        <v>26</v>
      </c>
      <c r="E32" s="15" t="s">
        <v>24</v>
      </c>
      <c r="F32" s="14" t="s">
        <v>25</v>
      </c>
      <c r="G32" s="16"/>
      <c r="H32" s="16"/>
      <c r="I32" s="17"/>
      <c r="J32" s="10" t="str">
        <f t="shared" si="1"/>
        <v/>
      </c>
      <c r="K32" s="10" t="str">
        <f t="shared" si="2"/>
        <v/>
      </c>
      <c r="L32" s="18">
        <v>677.367917060852</v>
      </c>
      <c r="M32" s="18">
        <v>29.4507790026457</v>
      </c>
      <c r="N32" s="14">
        <v>23.0</v>
      </c>
      <c r="O32" s="19"/>
      <c r="P32" s="19"/>
      <c r="Q32" s="21"/>
      <c r="R32" s="21"/>
      <c r="S32" s="14">
        <v>10.0</v>
      </c>
      <c r="T32" s="14">
        <v>80.0</v>
      </c>
      <c r="U32" s="14">
        <v>4.0</v>
      </c>
      <c r="V32" s="12" t="str">
        <f t="shared" si="3"/>
        <v>geoverallmodularityoverallVisual_Network</v>
      </c>
      <c r="W32" s="12" t="str">
        <f t="shared" si="4"/>
        <v>geoverallmodularityoverall</v>
      </c>
    </row>
    <row r="33">
      <c r="A33" s="13">
        <v>110.0</v>
      </c>
      <c r="B33" s="14" t="s">
        <v>23</v>
      </c>
      <c r="C33" s="14" t="s">
        <v>24</v>
      </c>
      <c r="D33" s="14" t="s">
        <v>23</v>
      </c>
      <c r="E33" s="15" t="s">
        <v>25</v>
      </c>
      <c r="F33" s="21"/>
      <c r="G33" s="22">
        <v>0.113008854336641</v>
      </c>
      <c r="H33" s="22">
        <v>0.0713960912956585</v>
      </c>
      <c r="I33" s="23">
        <v>3.17451604170751</v>
      </c>
      <c r="J33" s="10">
        <f t="shared" si="1"/>
        <v>0.03559876619</v>
      </c>
      <c r="K33" s="10">
        <f t="shared" si="2"/>
        <v>0.02249038605</v>
      </c>
      <c r="L33" s="18">
        <v>38.3469800949097</v>
      </c>
      <c r="M33" s="18">
        <v>19.1734900474548</v>
      </c>
      <c r="N33" s="14">
        <v>2.0</v>
      </c>
      <c r="O33" s="18">
        <v>521.668030977249</v>
      </c>
      <c r="P33" s="18">
        <v>65.2085038721561</v>
      </c>
      <c r="Q33" s="14">
        <v>8.0</v>
      </c>
      <c r="R33" s="14">
        <v>4.0</v>
      </c>
      <c r="S33" s="14">
        <v>10.0</v>
      </c>
      <c r="T33" s="14">
        <v>80.0</v>
      </c>
      <c r="U33" s="14">
        <v>4.0</v>
      </c>
      <c r="V33" s="12" t="str">
        <f t="shared" si="3"/>
        <v>geoverallgeVisual_Network</v>
      </c>
      <c r="W33" s="12" t="str">
        <f t="shared" si="4"/>
        <v>geoverallgeVisual_Network</v>
      </c>
    </row>
    <row r="34" hidden="1">
      <c r="A34" s="13">
        <v>110.0</v>
      </c>
      <c r="B34" s="14" t="s">
        <v>23</v>
      </c>
      <c r="C34" s="14" t="s">
        <v>24</v>
      </c>
      <c r="D34" s="14" t="s">
        <v>26</v>
      </c>
      <c r="E34" s="15" t="s">
        <v>24</v>
      </c>
      <c r="F34" s="21"/>
      <c r="G34" s="16"/>
      <c r="H34" s="16"/>
      <c r="I34" s="17"/>
      <c r="J34" s="10" t="str">
        <f t="shared" si="1"/>
        <v/>
      </c>
      <c r="K34" s="10" t="str">
        <f t="shared" si="2"/>
        <v/>
      </c>
      <c r="L34" s="18">
        <v>637.230891704559</v>
      </c>
      <c r="M34" s="18">
        <v>28.9650405320254</v>
      </c>
      <c r="N34" s="14">
        <v>22.0</v>
      </c>
      <c r="O34" s="19"/>
      <c r="P34" s="19"/>
      <c r="Q34" s="20"/>
      <c r="R34" s="21"/>
      <c r="S34" s="14">
        <v>10.0</v>
      </c>
      <c r="T34" s="14">
        <v>80.0</v>
      </c>
      <c r="U34" s="14">
        <v>4.0</v>
      </c>
      <c r="V34" s="12" t="str">
        <f t="shared" si="3"/>
        <v>geoverallmodularityoverall</v>
      </c>
      <c r="W34" s="12" t="str">
        <f t="shared" si="4"/>
        <v>geoverallmodularityoverall</v>
      </c>
    </row>
    <row r="35">
      <c r="A35" s="13">
        <v>110.0</v>
      </c>
      <c r="B35" s="14" t="s">
        <v>23</v>
      </c>
      <c r="C35" s="14" t="s">
        <v>24</v>
      </c>
      <c r="D35" s="14" t="s">
        <v>23</v>
      </c>
      <c r="E35" s="15" t="s">
        <v>27</v>
      </c>
      <c r="F35" s="21"/>
      <c r="G35" s="22">
        <v>1.26790787578461E-10</v>
      </c>
      <c r="H35" s="22">
        <v>1.25729511268894E-10</v>
      </c>
      <c r="I35" s="23">
        <v>3.45563542098179</v>
      </c>
      <c r="J35" s="10">
        <f t="shared" si="1"/>
        <v>0</v>
      </c>
      <c r="K35" s="10">
        <f t="shared" si="2"/>
        <v>0</v>
      </c>
      <c r="L35" s="18">
        <v>175.865284919739</v>
      </c>
      <c r="M35" s="18">
        <v>25.1236121313913</v>
      </c>
      <c r="N35" s="14">
        <v>7.0</v>
      </c>
      <c r="O35" s="18">
        <v>387.674911022186</v>
      </c>
      <c r="P35" s="18">
        <v>96.9187277555466</v>
      </c>
      <c r="Q35" s="14">
        <v>4.0</v>
      </c>
      <c r="R35" s="14">
        <v>4.0</v>
      </c>
      <c r="S35" s="14">
        <v>10.0</v>
      </c>
      <c r="T35" s="14">
        <v>80.0</v>
      </c>
      <c r="U35" s="14">
        <v>4.0</v>
      </c>
      <c r="V35" s="12" t="str">
        <f t="shared" si="3"/>
        <v>geoverallgeMultiple_Demand_Extended_Network</v>
      </c>
      <c r="W35" s="12" t="str">
        <f t="shared" si="4"/>
        <v>geoverallgeMultiple_Demand_Extended_Network</v>
      </c>
    </row>
    <row r="36">
      <c r="A36" s="13">
        <v>111.0</v>
      </c>
      <c r="B36" s="14" t="s">
        <v>23</v>
      </c>
      <c r="C36" s="14" t="s">
        <v>24</v>
      </c>
      <c r="D36" s="14" t="s">
        <v>23</v>
      </c>
      <c r="E36" s="15" t="s">
        <v>25</v>
      </c>
      <c r="F36" s="14" t="s">
        <v>27</v>
      </c>
      <c r="G36" s="22">
        <v>0.00616344492277676</v>
      </c>
      <c r="H36" s="22">
        <v>0.00284466694058489</v>
      </c>
      <c r="I36" s="23">
        <v>7.44960301843532</v>
      </c>
      <c r="J36" s="10">
        <f t="shared" si="1"/>
        <v>0.0008273521297</v>
      </c>
      <c r="K36" s="10">
        <f t="shared" si="2"/>
        <v>0.0003818548362</v>
      </c>
      <c r="L36" s="18">
        <v>326.810825824737</v>
      </c>
      <c r="M36" s="18">
        <v>29.7100750749761</v>
      </c>
      <c r="N36" s="14">
        <v>11.0</v>
      </c>
      <c r="O36" s="18">
        <v>888.700551986694</v>
      </c>
      <c r="P36" s="18">
        <v>74.0583793322245</v>
      </c>
      <c r="Q36" s="14">
        <v>12.0</v>
      </c>
      <c r="R36" s="14">
        <v>4.0</v>
      </c>
      <c r="S36" s="14">
        <v>10.0</v>
      </c>
      <c r="T36" s="14">
        <v>80.0</v>
      </c>
      <c r="U36" s="14">
        <v>4.0</v>
      </c>
      <c r="V36" s="12" t="str">
        <f t="shared" si="3"/>
        <v>geoverallgeVisual_NetworkMultiple_Demand_Extended_Network</v>
      </c>
      <c r="W36" s="12" t="str">
        <f t="shared" si="4"/>
        <v>geoverallgeVisual_Network</v>
      </c>
    </row>
    <row r="37" hidden="1">
      <c r="A37" s="13">
        <v>111.0</v>
      </c>
      <c r="B37" s="14" t="s">
        <v>23</v>
      </c>
      <c r="C37" s="14" t="s">
        <v>24</v>
      </c>
      <c r="D37" s="14" t="s">
        <v>26</v>
      </c>
      <c r="E37" s="15" t="s">
        <v>24</v>
      </c>
      <c r="F37" s="14" t="s">
        <v>27</v>
      </c>
      <c r="G37" s="16"/>
      <c r="H37" s="16"/>
      <c r="I37" s="17"/>
      <c r="J37" s="10" t="str">
        <f t="shared" si="1"/>
        <v/>
      </c>
      <c r="K37" s="10" t="str">
        <f t="shared" si="2"/>
        <v/>
      </c>
      <c r="L37" s="18">
        <v>1412.14009070396</v>
      </c>
      <c r="M37" s="18">
        <v>33.6223831119991</v>
      </c>
      <c r="N37" s="14">
        <v>42.0</v>
      </c>
      <c r="O37" s="19"/>
      <c r="P37" s="19"/>
      <c r="Q37" s="21"/>
      <c r="R37" s="21"/>
      <c r="S37" s="14">
        <v>10.0</v>
      </c>
      <c r="T37" s="14">
        <v>80.0</v>
      </c>
      <c r="U37" s="14">
        <v>4.0</v>
      </c>
      <c r="V37" s="12" t="str">
        <f t="shared" si="3"/>
        <v>geoverallmodularityoverallMultiple_Demand_Extended_Network</v>
      </c>
      <c r="W37" s="12" t="str">
        <f t="shared" si="4"/>
        <v>geoverallmodularityoverall</v>
      </c>
    </row>
    <row r="38">
      <c r="A38" s="13">
        <v>111.0</v>
      </c>
      <c r="B38" s="14" t="s">
        <v>23</v>
      </c>
      <c r="C38" s="14" t="s">
        <v>24</v>
      </c>
      <c r="D38" s="14" t="s">
        <v>23</v>
      </c>
      <c r="E38" s="15" t="s">
        <v>27</v>
      </c>
      <c r="F38" s="14" t="s">
        <v>27</v>
      </c>
      <c r="G38" s="22">
        <v>0.00521522260255836</v>
      </c>
      <c r="H38" s="22">
        <v>0.00521522260255836</v>
      </c>
      <c r="I38" s="23">
        <v>0.0</v>
      </c>
      <c r="J38" s="10" t="str">
        <f t="shared" si="1"/>
        <v/>
      </c>
      <c r="K38" s="10" t="str">
        <f t="shared" si="2"/>
        <v/>
      </c>
      <c r="L38" s="18">
        <v>162.429749965668</v>
      </c>
      <c r="M38" s="18">
        <v>27.071624994278</v>
      </c>
      <c r="N38" s="14">
        <v>6.0</v>
      </c>
      <c r="O38" s="18">
        <v>713.949486970901</v>
      </c>
      <c r="P38" s="18">
        <v>79.3277207745446</v>
      </c>
      <c r="Q38" s="14">
        <v>9.0</v>
      </c>
      <c r="R38" s="14">
        <v>4.0</v>
      </c>
      <c r="S38" s="14">
        <v>10.0</v>
      </c>
      <c r="T38" s="14">
        <v>80.0</v>
      </c>
      <c r="U38" s="14">
        <v>4.0</v>
      </c>
      <c r="V38" s="12" t="str">
        <f t="shared" si="3"/>
        <v>geoverallgeMultiple_Demand_Extended_NetworkMultiple_Demand_Extended_Network</v>
      </c>
      <c r="W38" s="12" t="str">
        <f t="shared" si="4"/>
        <v>geoverallgeMultiple_Demand_Extended_Network</v>
      </c>
    </row>
    <row r="39">
      <c r="A39" s="13">
        <v>112.0</v>
      </c>
      <c r="B39" s="14" t="s">
        <v>23</v>
      </c>
      <c r="C39" s="14" t="s">
        <v>24</v>
      </c>
      <c r="D39" s="14" t="s">
        <v>23</v>
      </c>
      <c r="E39" s="15" t="s">
        <v>25</v>
      </c>
      <c r="F39" s="14" t="s">
        <v>25</v>
      </c>
      <c r="G39" s="22">
        <v>0.0438944907266148</v>
      </c>
      <c r="H39" s="22">
        <v>0.0355449951579251</v>
      </c>
      <c r="I39" s="23">
        <v>4.92589792666283</v>
      </c>
      <c r="J39" s="10">
        <f t="shared" si="1"/>
        <v>0.008910962302</v>
      </c>
      <c r="K39" s="10">
        <f t="shared" si="2"/>
        <v>0.007215942289</v>
      </c>
      <c r="L39" s="18">
        <v>31.4629671573639</v>
      </c>
      <c r="M39" s="18">
        <v>15.7314835786819</v>
      </c>
      <c r="N39" s="14">
        <v>2.0</v>
      </c>
      <c r="O39" s="18">
        <v>223.088999032974</v>
      </c>
      <c r="P39" s="18">
        <v>74.3629996776581</v>
      </c>
      <c r="Q39" s="14">
        <v>3.0</v>
      </c>
      <c r="R39" s="14">
        <v>4.0</v>
      </c>
      <c r="S39" s="14">
        <v>10.0</v>
      </c>
      <c r="T39" s="14">
        <v>80.0</v>
      </c>
      <c r="U39" s="14">
        <v>4.0</v>
      </c>
      <c r="V39" s="12" t="str">
        <f t="shared" si="3"/>
        <v>geoverallgeVisual_NetworkVisual_Network</v>
      </c>
      <c r="W39" s="12" t="str">
        <f t="shared" si="4"/>
        <v>geoverallgeVisual_Network</v>
      </c>
    </row>
    <row r="40" hidden="1">
      <c r="A40" s="13">
        <v>112.0</v>
      </c>
      <c r="B40" s="14" t="s">
        <v>23</v>
      </c>
      <c r="C40" s="14" t="s">
        <v>24</v>
      </c>
      <c r="D40" s="14" t="s">
        <v>26</v>
      </c>
      <c r="E40" s="15" t="s">
        <v>24</v>
      </c>
      <c r="F40" s="14" t="s">
        <v>25</v>
      </c>
      <c r="G40" s="16"/>
      <c r="H40" s="16"/>
      <c r="I40" s="17"/>
      <c r="J40" s="10" t="str">
        <f t="shared" si="1"/>
        <v/>
      </c>
      <c r="K40" s="10" t="str">
        <f t="shared" si="2"/>
        <v/>
      </c>
      <c r="L40" s="18">
        <v>360.470577955246</v>
      </c>
      <c r="M40" s="18">
        <v>22.5294111222029</v>
      </c>
      <c r="N40" s="14">
        <v>16.0</v>
      </c>
      <c r="O40" s="19"/>
      <c r="P40" s="19"/>
      <c r="Q40" s="20"/>
      <c r="R40" s="21"/>
      <c r="S40" s="14">
        <v>10.0</v>
      </c>
      <c r="T40" s="14">
        <v>80.0</v>
      </c>
      <c r="U40" s="14">
        <v>4.0</v>
      </c>
      <c r="V40" s="12" t="str">
        <f t="shared" si="3"/>
        <v>geoverallmodularityoverallVisual_Network</v>
      </c>
      <c r="W40" s="12" t="str">
        <f t="shared" si="4"/>
        <v>geoverallmodularityoverall</v>
      </c>
    </row>
    <row r="41">
      <c r="A41" s="13">
        <v>113.0</v>
      </c>
      <c r="B41" s="14" t="s">
        <v>23</v>
      </c>
      <c r="C41" s="14" t="s">
        <v>24</v>
      </c>
      <c r="D41" s="14" t="s">
        <v>23</v>
      </c>
      <c r="E41" s="15" t="s">
        <v>25</v>
      </c>
      <c r="F41" s="21"/>
      <c r="G41" s="22">
        <v>0.0391547528441549</v>
      </c>
      <c r="H41" s="22">
        <v>0.0142080538677805</v>
      </c>
      <c r="I41" s="23">
        <v>4.09423374415582</v>
      </c>
      <c r="J41" s="10">
        <f t="shared" si="1"/>
        <v>0.009563389706</v>
      </c>
      <c r="K41" s="10">
        <f t="shared" si="2"/>
        <v>0.003470259579</v>
      </c>
      <c r="L41" s="18">
        <v>80.1387958526611</v>
      </c>
      <c r="M41" s="18">
        <v>20.0346989631653</v>
      </c>
      <c r="N41" s="14">
        <v>4.0</v>
      </c>
      <c r="O41" s="18">
        <v>375.80708694458</v>
      </c>
      <c r="P41" s="18">
        <v>75.161417388916</v>
      </c>
      <c r="Q41" s="14">
        <v>5.0</v>
      </c>
      <c r="R41" s="14">
        <v>4.0</v>
      </c>
      <c r="S41" s="14">
        <v>10.0</v>
      </c>
      <c r="T41" s="14">
        <v>80.0</v>
      </c>
      <c r="U41" s="14">
        <v>4.0</v>
      </c>
      <c r="V41" s="12" t="str">
        <f t="shared" si="3"/>
        <v>geoverallgeVisual_Network</v>
      </c>
      <c r="W41" s="12" t="str">
        <f t="shared" si="4"/>
        <v>geoverallgeVisual_Network</v>
      </c>
    </row>
    <row r="42" hidden="1">
      <c r="A42" s="13">
        <v>113.0</v>
      </c>
      <c r="B42" s="14" t="s">
        <v>23</v>
      </c>
      <c r="C42" s="14" t="s">
        <v>24</v>
      </c>
      <c r="D42" s="14" t="s">
        <v>26</v>
      </c>
      <c r="E42" s="15" t="s">
        <v>24</v>
      </c>
      <c r="F42" s="21"/>
      <c r="G42" s="16"/>
      <c r="H42" s="16"/>
      <c r="I42" s="17"/>
      <c r="J42" s="10" t="str">
        <f t="shared" si="1"/>
        <v/>
      </c>
      <c r="K42" s="10" t="str">
        <f t="shared" si="2"/>
        <v/>
      </c>
      <c r="L42" s="18">
        <v>277.608299970627</v>
      </c>
      <c r="M42" s="18">
        <v>23.1340249975522</v>
      </c>
      <c r="N42" s="14">
        <v>12.0</v>
      </c>
      <c r="O42" s="19"/>
      <c r="P42" s="19"/>
      <c r="Q42" s="20"/>
      <c r="R42" s="20"/>
      <c r="S42" s="14">
        <v>10.0</v>
      </c>
      <c r="T42" s="14">
        <v>80.0</v>
      </c>
      <c r="U42" s="14">
        <v>4.0</v>
      </c>
      <c r="V42" s="12" t="str">
        <f t="shared" si="3"/>
        <v>geoverallmodularityoverall</v>
      </c>
      <c r="W42" s="12" t="str">
        <f t="shared" si="4"/>
        <v>geoverallmodularityoverall</v>
      </c>
    </row>
    <row r="43">
      <c r="A43" s="13">
        <v>113.0</v>
      </c>
      <c r="B43" s="14" t="s">
        <v>23</v>
      </c>
      <c r="C43" s="14" t="s">
        <v>24</v>
      </c>
      <c r="D43" s="14" t="s">
        <v>23</v>
      </c>
      <c r="E43" s="15" t="s">
        <v>27</v>
      </c>
      <c r="F43" s="21"/>
      <c r="G43" s="22">
        <v>0.0188339316618453</v>
      </c>
      <c r="H43" s="22">
        <v>0.0188339316618453</v>
      </c>
      <c r="I43" s="23">
        <v>0.0</v>
      </c>
      <c r="J43" s="10" t="str">
        <f t="shared" si="1"/>
        <v/>
      </c>
      <c r="K43" s="10" t="str">
        <f t="shared" si="2"/>
        <v/>
      </c>
      <c r="L43" s="18">
        <v>33.3138101100922</v>
      </c>
      <c r="M43" s="18">
        <v>16.6569050550461</v>
      </c>
      <c r="N43" s="14">
        <v>2.0</v>
      </c>
      <c r="O43" s="18">
        <v>69.8182759284973</v>
      </c>
      <c r="P43" s="18">
        <v>69.8182759284973</v>
      </c>
      <c r="Q43" s="14">
        <v>1.0</v>
      </c>
      <c r="R43" s="14">
        <v>4.0</v>
      </c>
      <c r="S43" s="14">
        <v>10.0</v>
      </c>
      <c r="T43" s="14">
        <v>80.0</v>
      </c>
      <c r="U43" s="14">
        <v>4.0</v>
      </c>
      <c r="V43" s="12" t="str">
        <f t="shared" si="3"/>
        <v>geoverallgeMultiple_Demand_Extended_Network</v>
      </c>
      <c r="W43" s="12" t="str">
        <f t="shared" si="4"/>
        <v>geoverallgeMultiple_Demand_Extended_Network</v>
      </c>
    </row>
    <row r="44">
      <c r="A44" s="13">
        <v>114.0</v>
      </c>
      <c r="B44" s="14" t="s">
        <v>23</v>
      </c>
      <c r="C44" s="14" t="s">
        <v>24</v>
      </c>
      <c r="D44" s="14" t="s">
        <v>23</v>
      </c>
      <c r="E44" s="15" t="s">
        <v>25</v>
      </c>
      <c r="F44" s="14" t="s">
        <v>27</v>
      </c>
      <c r="G44" s="22">
        <v>0.140306405328417</v>
      </c>
      <c r="H44" s="22">
        <v>0.0935376036092897</v>
      </c>
      <c r="I44" s="23">
        <v>3.014358626007</v>
      </c>
      <c r="J44" s="10">
        <f t="shared" si="1"/>
        <v>0.0465460228</v>
      </c>
      <c r="K44" s="10">
        <f t="shared" si="2"/>
        <v>0.03103068188</v>
      </c>
      <c r="L44" s="18">
        <v>55.7826180458069</v>
      </c>
      <c r="M44" s="18">
        <v>18.594206015269</v>
      </c>
      <c r="N44" s="14">
        <v>3.0</v>
      </c>
      <c r="O44" s="18">
        <v>330.051393032074</v>
      </c>
      <c r="P44" s="18">
        <v>66.0102786064148</v>
      </c>
      <c r="Q44" s="14">
        <v>5.0</v>
      </c>
      <c r="R44" s="14">
        <v>4.0</v>
      </c>
      <c r="S44" s="14">
        <v>10.0</v>
      </c>
      <c r="T44" s="14">
        <v>80.0</v>
      </c>
      <c r="U44" s="14">
        <v>4.0</v>
      </c>
      <c r="V44" s="12" t="str">
        <f t="shared" si="3"/>
        <v>geoverallgeVisual_NetworkMultiple_Demand_Extended_Network</v>
      </c>
      <c r="W44" s="12" t="str">
        <f t="shared" si="4"/>
        <v>geoverallgeVisual_Network</v>
      </c>
    </row>
    <row r="45" hidden="1">
      <c r="A45" s="13">
        <v>114.0</v>
      </c>
      <c r="B45" s="14" t="s">
        <v>23</v>
      </c>
      <c r="C45" s="14" t="s">
        <v>24</v>
      </c>
      <c r="D45" s="14" t="s">
        <v>26</v>
      </c>
      <c r="E45" s="15" t="s">
        <v>24</v>
      </c>
      <c r="F45" s="14" t="s">
        <v>27</v>
      </c>
      <c r="G45" s="16"/>
      <c r="H45" s="16"/>
      <c r="I45" s="17"/>
      <c r="J45" s="10" t="str">
        <f t="shared" si="1"/>
        <v/>
      </c>
      <c r="K45" s="10" t="str">
        <f t="shared" si="2"/>
        <v/>
      </c>
      <c r="L45" s="18">
        <v>71.0807521343231</v>
      </c>
      <c r="M45" s="18">
        <v>17.7701880335808</v>
      </c>
      <c r="N45" s="14">
        <v>4.0</v>
      </c>
      <c r="O45" s="19"/>
      <c r="P45" s="19"/>
      <c r="Q45" s="21"/>
      <c r="R45" s="21"/>
      <c r="S45" s="14">
        <v>10.0</v>
      </c>
      <c r="T45" s="14">
        <v>80.0</v>
      </c>
      <c r="U45" s="14">
        <v>4.0</v>
      </c>
      <c r="V45" s="12" t="str">
        <f t="shared" si="3"/>
        <v>geoverallmodularityoverallMultiple_Demand_Extended_Network</v>
      </c>
      <c r="W45" s="12" t="str">
        <f t="shared" si="4"/>
        <v>geoverallmodularityoverall</v>
      </c>
    </row>
    <row r="46">
      <c r="A46" s="13">
        <v>114.0</v>
      </c>
      <c r="B46" s="14" t="s">
        <v>23</v>
      </c>
      <c r="C46" s="14" t="s">
        <v>24</v>
      </c>
      <c r="D46" s="14" t="s">
        <v>23</v>
      </c>
      <c r="E46" s="15" t="s">
        <v>27</v>
      </c>
      <c r="F46" s="14" t="s">
        <v>27</v>
      </c>
      <c r="G46" s="22">
        <v>1.89820363471069E-10</v>
      </c>
      <c r="H46" s="22">
        <v>1.89820363471069E-10</v>
      </c>
      <c r="I46" s="23">
        <v>0.0</v>
      </c>
      <c r="J46" s="10" t="str">
        <f t="shared" si="1"/>
        <v/>
      </c>
      <c r="K46" s="10" t="str">
        <f t="shared" si="2"/>
        <v/>
      </c>
      <c r="L46" s="18">
        <v>113.397094011307</v>
      </c>
      <c r="M46" s="18">
        <v>18.8995156685511</v>
      </c>
      <c r="N46" s="14">
        <v>6.0</v>
      </c>
      <c r="O46" s="18">
        <v>67.8391470909119</v>
      </c>
      <c r="P46" s="18">
        <v>67.8391470909119</v>
      </c>
      <c r="Q46" s="14">
        <v>1.0</v>
      </c>
      <c r="R46" s="14">
        <v>4.0</v>
      </c>
      <c r="S46" s="14">
        <v>10.0</v>
      </c>
      <c r="T46" s="14">
        <v>80.0</v>
      </c>
      <c r="U46" s="14">
        <v>4.0</v>
      </c>
      <c r="V46" s="12" t="str">
        <f t="shared" si="3"/>
        <v>geoverallgeMultiple_Demand_Extended_NetworkMultiple_Demand_Extended_Network</v>
      </c>
      <c r="W46" s="12" t="str">
        <f t="shared" si="4"/>
        <v>geoverallgeMultiple_Demand_Extended_Network</v>
      </c>
    </row>
    <row r="47">
      <c r="A47" s="13">
        <v>115.0</v>
      </c>
      <c r="B47" s="14" t="s">
        <v>23</v>
      </c>
      <c r="C47" s="14" t="s">
        <v>24</v>
      </c>
      <c r="D47" s="14" t="s">
        <v>23</v>
      </c>
      <c r="E47" s="15" t="s">
        <v>25</v>
      </c>
      <c r="F47" s="14" t="s">
        <v>25</v>
      </c>
      <c r="G47" s="22">
        <v>0.597424316664714</v>
      </c>
      <c r="H47" s="22">
        <v>0.199141438995383</v>
      </c>
      <c r="I47" s="23">
        <v>5.27211956075563</v>
      </c>
      <c r="J47" s="10">
        <f t="shared" si="1"/>
        <v>0.1133176723</v>
      </c>
      <c r="K47" s="10">
        <f t="shared" si="2"/>
        <v>0.03777255745</v>
      </c>
      <c r="L47" s="18">
        <v>164.948977947235</v>
      </c>
      <c r="M47" s="18">
        <v>27.4914963245392</v>
      </c>
      <c r="N47" s="14">
        <v>6.0</v>
      </c>
      <c r="O47" s="18">
        <v>1179.33608007431</v>
      </c>
      <c r="P47" s="18">
        <v>69.3727105926065</v>
      </c>
      <c r="Q47" s="14">
        <v>17.0</v>
      </c>
      <c r="R47" s="14">
        <v>4.0</v>
      </c>
      <c r="S47" s="14">
        <v>10.0</v>
      </c>
      <c r="T47" s="14">
        <v>80.0</v>
      </c>
      <c r="U47" s="14">
        <v>4.0</v>
      </c>
      <c r="V47" s="12" t="str">
        <f t="shared" si="3"/>
        <v>geoverallgeVisual_NetworkVisual_Network</v>
      </c>
      <c r="W47" s="12" t="str">
        <f t="shared" si="4"/>
        <v>geoverallgeVisual_Network</v>
      </c>
    </row>
    <row r="48" hidden="1">
      <c r="A48" s="13">
        <v>115.0</v>
      </c>
      <c r="B48" s="14" t="s">
        <v>23</v>
      </c>
      <c r="C48" s="14" t="s">
        <v>24</v>
      </c>
      <c r="D48" s="14" t="s">
        <v>26</v>
      </c>
      <c r="E48" s="24" t="s">
        <v>24</v>
      </c>
      <c r="F48" s="14" t="s">
        <v>25</v>
      </c>
      <c r="G48" s="16"/>
      <c r="H48" s="16"/>
      <c r="I48" s="17"/>
      <c r="J48" s="10" t="str">
        <f t="shared" si="1"/>
        <v/>
      </c>
      <c r="K48" s="10" t="str">
        <f t="shared" si="2"/>
        <v/>
      </c>
      <c r="L48" s="18">
        <v>292.641379833221</v>
      </c>
      <c r="M48" s="18">
        <v>22.5108753717863</v>
      </c>
      <c r="N48" s="24">
        <v>13.0</v>
      </c>
      <c r="O48" s="19"/>
      <c r="P48" s="19"/>
      <c r="Q48" s="25"/>
      <c r="R48" s="20"/>
      <c r="S48" s="14">
        <v>10.0</v>
      </c>
      <c r="T48" s="14">
        <v>80.0</v>
      </c>
      <c r="U48" s="14">
        <v>4.0</v>
      </c>
      <c r="V48" s="12" t="str">
        <f t="shared" si="3"/>
        <v>geoverallmodularityoverallVisual_Network</v>
      </c>
      <c r="W48" s="12" t="str">
        <f t="shared" si="4"/>
        <v>geoverallmodularityoverall</v>
      </c>
    </row>
    <row r="49">
      <c r="A49" s="13">
        <v>116.0</v>
      </c>
      <c r="B49" s="14" t="s">
        <v>23</v>
      </c>
      <c r="C49" s="14" t="s">
        <v>24</v>
      </c>
      <c r="D49" s="14" t="s">
        <v>23</v>
      </c>
      <c r="E49" s="14" t="s">
        <v>25</v>
      </c>
      <c r="F49" s="20"/>
      <c r="G49" s="22">
        <v>0.0334378967589117</v>
      </c>
      <c r="H49" s="22">
        <v>0.0127497017529777</v>
      </c>
      <c r="I49" s="23">
        <v>7.14187547876329</v>
      </c>
      <c r="J49" s="10">
        <f t="shared" si="1"/>
        <v>0.004681949</v>
      </c>
      <c r="K49" s="10">
        <f t="shared" si="2"/>
        <v>0.001785203591</v>
      </c>
      <c r="L49" s="18">
        <v>307.724907159805</v>
      </c>
      <c r="M49" s="18">
        <v>27.9749915599823</v>
      </c>
      <c r="N49" s="14">
        <v>11.0</v>
      </c>
      <c r="O49" s="18">
        <v>582.902956008911</v>
      </c>
      <c r="P49" s="18">
        <v>72.8628695011139</v>
      </c>
      <c r="Q49" s="14">
        <v>8.0</v>
      </c>
      <c r="R49" s="14">
        <v>4.0</v>
      </c>
      <c r="S49" s="14">
        <v>10.0</v>
      </c>
      <c r="T49" s="14">
        <v>80.0</v>
      </c>
      <c r="U49" s="14">
        <v>4.0</v>
      </c>
      <c r="V49" s="12" t="str">
        <f t="shared" si="3"/>
        <v>geoverallgeVisual_Network</v>
      </c>
      <c r="W49" s="12" t="str">
        <f t="shared" si="4"/>
        <v>geoverallgeVisual_Network</v>
      </c>
    </row>
    <row r="50" hidden="1">
      <c r="A50" s="13">
        <v>116.0</v>
      </c>
      <c r="B50" s="14" t="s">
        <v>23</v>
      </c>
      <c r="C50" s="14" t="s">
        <v>24</v>
      </c>
      <c r="D50" s="14" t="s">
        <v>26</v>
      </c>
      <c r="E50" s="14" t="s">
        <v>24</v>
      </c>
      <c r="F50" s="20"/>
      <c r="G50" s="16"/>
      <c r="H50" s="16"/>
      <c r="I50" s="17"/>
      <c r="J50" s="10" t="str">
        <f t="shared" si="1"/>
        <v/>
      </c>
      <c r="K50" s="10" t="str">
        <f t="shared" si="2"/>
        <v/>
      </c>
      <c r="L50" s="18">
        <v>407.802990674972</v>
      </c>
      <c r="M50" s="18">
        <v>27.1868660449982</v>
      </c>
      <c r="N50" s="14">
        <v>15.0</v>
      </c>
      <c r="O50" s="19"/>
      <c r="P50" s="19"/>
      <c r="Q50" s="20"/>
      <c r="R50" s="20"/>
      <c r="S50" s="14">
        <v>10.0</v>
      </c>
      <c r="T50" s="14">
        <v>80.0</v>
      </c>
      <c r="U50" s="14">
        <v>4.0</v>
      </c>
      <c r="V50" s="12" t="str">
        <f t="shared" si="3"/>
        <v>geoverallmodularityoverall</v>
      </c>
      <c r="W50" s="12" t="str">
        <f t="shared" si="4"/>
        <v>geoverallmodularityoverall</v>
      </c>
    </row>
    <row r="51">
      <c r="A51" s="13">
        <v>116.0</v>
      </c>
      <c r="B51" s="14" t="s">
        <v>23</v>
      </c>
      <c r="C51" s="14" t="s">
        <v>24</v>
      </c>
      <c r="D51" s="14" t="s">
        <v>23</v>
      </c>
      <c r="E51" s="14" t="s">
        <v>27</v>
      </c>
      <c r="F51" s="20"/>
      <c r="G51" s="22">
        <v>0.24420102373593</v>
      </c>
      <c r="H51" s="22">
        <v>0.109144975041144</v>
      </c>
      <c r="I51" s="23">
        <v>3.54309802646484</v>
      </c>
      <c r="J51" s="10">
        <f t="shared" si="1"/>
        <v>0.06892302214</v>
      </c>
      <c r="K51" s="10">
        <f t="shared" si="2"/>
        <v>0.03080495494</v>
      </c>
      <c r="L51" s="18">
        <v>443.555508136749</v>
      </c>
      <c r="M51" s="18">
        <v>31.6825362954821</v>
      </c>
      <c r="N51" s="14">
        <v>14.0</v>
      </c>
      <c r="O51" s="18">
        <v>1068.78695893288</v>
      </c>
      <c r="P51" s="18">
        <v>76.3419256380626</v>
      </c>
      <c r="Q51" s="14">
        <v>13.0</v>
      </c>
      <c r="R51" s="14">
        <v>4.0</v>
      </c>
      <c r="S51" s="14">
        <v>10.0</v>
      </c>
      <c r="T51" s="14">
        <v>80.0</v>
      </c>
      <c r="U51" s="14">
        <v>4.0</v>
      </c>
      <c r="V51" s="12" t="str">
        <f t="shared" si="3"/>
        <v>geoverallgeMultiple_Demand_Extended_Network</v>
      </c>
      <c r="W51" s="12" t="str">
        <f t="shared" si="4"/>
        <v>geoverallgeMultiple_Demand_Extended_Network</v>
      </c>
    </row>
    <row r="52">
      <c r="A52" s="13">
        <v>117.0</v>
      </c>
      <c r="B52" s="14" t="s">
        <v>23</v>
      </c>
      <c r="C52" s="14" t="s">
        <v>24</v>
      </c>
      <c r="D52" s="14" t="s">
        <v>23</v>
      </c>
      <c r="E52" s="14" t="s">
        <v>25</v>
      </c>
      <c r="F52" s="14" t="s">
        <v>27</v>
      </c>
      <c r="G52" s="22">
        <v>0.00944197893542764</v>
      </c>
      <c r="H52" s="22">
        <v>0.00236049481162315</v>
      </c>
      <c r="I52" s="23">
        <v>0.81735595862571</v>
      </c>
      <c r="J52" s="10">
        <f t="shared" si="1"/>
        <v>0.01155185673</v>
      </c>
      <c r="K52" s="10">
        <f t="shared" si="2"/>
        <v>0.002887964279</v>
      </c>
      <c r="L52" s="18">
        <v>370.496696949005</v>
      </c>
      <c r="M52" s="18">
        <v>28.4997459191542</v>
      </c>
      <c r="N52" s="14">
        <v>13.0</v>
      </c>
      <c r="O52" s="18">
        <v>225.236093044281</v>
      </c>
      <c r="P52" s="18">
        <v>75.078697681427</v>
      </c>
      <c r="Q52" s="14">
        <v>3.0</v>
      </c>
      <c r="R52" s="14">
        <v>4.0</v>
      </c>
      <c r="S52" s="14">
        <v>10.0</v>
      </c>
      <c r="T52" s="14">
        <v>80.0</v>
      </c>
      <c r="U52" s="14">
        <v>4.0</v>
      </c>
      <c r="V52" s="12" t="str">
        <f t="shared" si="3"/>
        <v>geoverallgeVisual_NetworkMultiple_Demand_Extended_Network</v>
      </c>
      <c r="W52" s="12" t="str">
        <f t="shared" si="4"/>
        <v>geoverallgeVisual_Network</v>
      </c>
    </row>
    <row r="53" hidden="1">
      <c r="A53" s="13">
        <v>117.0</v>
      </c>
      <c r="B53" s="14" t="s">
        <v>23</v>
      </c>
      <c r="C53" s="14" t="s">
        <v>24</v>
      </c>
      <c r="D53" s="14" t="s">
        <v>26</v>
      </c>
      <c r="E53" s="14" t="s">
        <v>24</v>
      </c>
      <c r="F53" s="14" t="s">
        <v>27</v>
      </c>
      <c r="G53" s="16"/>
      <c r="H53" s="16"/>
      <c r="I53" s="17"/>
      <c r="J53" s="10" t="str">
        <f t="shared" si="1"/>
        <v/>
      </c>
      <c r="K53" s="10" t="str">
        <f t="shared" si="2"/>
        <v/>
      </c>
      <c r="L53" s="18">
        <v>530.734738826752</v>
      </c>
      <c r="M53" s="18">
        <v>29.4852632681529</v>
      </c>
      <c r="N53" s="14">
        <v>18.0</v>
      </c>
      <c r="O53" s="19"/>
      <c r="P53" s="19"/>
      <c r="Q53" s="20"/>
      <c r="R53" s="20"/>
      <c r="S53" s="14">
        <v>10.0</v>
      </c>
      <c r="T53" s="14">
        <v>80.0</v>
      </c>
      <c r="U53" s="14">
        <v>4.0</v>
      </c>
      <c r="V53" s="12" t="str">
        <f t="shared" si="3"/>
        <v>geoverallmodularityoverallMultiple_Demand_Extended_Network</v>
      </c>
      <c r="W53" s="12" t="str">
        <f t="shared" si="4"/>
        <v>geoverallmodularityoverall</v>
      </c>
    </row>
    <row r="54">
      <c r="A54" s="13">
        <v>117.0</v>
      </c>
      <c r="B54" s="14" t="s">
        <v>23</v>
      </c>
      <c r="C54" s="14" t="s">
        <v>24</v>
      </c>
      <c r="D54" s="14" t="s">
        <v>23</v>
      </c>
      <c r="E54" s="14" t="s">
        <v>27</v>
      </c>
      <c r="F54" s="14" t="s">
        <v>27</v>
      </c>
      <c r="G54" s="22">
        <v>0.013914495527672</v>
      </c>
      <c r="H54" s="22">
        <v>0.00327156301421537</v>
      </c>
      <c r="I54" s="23">
        <v>11.7406243042787</v>
      </c>
      <c r="J54" s="10">
        <f t="shared" si="1"/>
        <v>0.00118515806</v>
      </c>
      <c r="K54" s="10">
        <f t="shared" si="2"/>
        <v>0.000278653241</v>
      </c>
      <c r="L54" s="18">
        <v>666.795254945755</v>
      </c>
      <c r="M54" s="18">
        <v>33.3397627472878</v>
      </c>
      <c r="N54" s="14">
        <v>20.0</v>
      </c>
      <c r="O54" s="18">
        <v>2108.07427716255</v>
      </c>
      <c r="P54" s="18">
        <v>84.3229710865021</v>
      </c>
      <c r="Q54" s="14">
        <v>25.0</v>
      </c>
      <c r="R54" s="14">
        <v>4.0</v>
      </c>
      <c r="S54" s="14">
        <v>10.0</v>
      </c>
      <c r="T54" s="14">
        <v>80.0</v>
      </c>
      <c r="U54" s="14">
        <v>4.0</v>
      </c>
      <c r="V54" s="12" t="str">
        <f t="shared" si="3"/>
        <v>geoverallgeMultiple_Demand_Extended_NetworkMultiple_Demand_Extended_Network</v>
      </c>
      <c r="W54" s="12" t="str">
        <f t="shared" si="4"/>
        <v>geoverallgeMultiple_Demand_Extended_Network</v>
      </c>
    </row>
    <row r="55">
      <c r="A55" s="13">
        <v>118.0</v>
      </c>
      <c r="B55" s="14" t="s">
        <v>23</v>
      </c>
      <c r="C55" s="14" t="s">
        <v>24</v>
      </c>
      <c r="D55" s="14" t="s">
        <v>23</v>
      </c>
      <c r="E55" s="14" t="s">
        <v>25</v>
      </c>
      <c r="F55" s="14" t="s">
        <v>25</v>
      </c>
      <c r="G55" s="22">
        <v>3.20054466673838</v>
      </c>
      <c r="H55" s="22">
        <v>0.924688150259041</v>
      </c>
      <c r="I55" s="23">
        <v>13.7026593440977</v>
      </c>
      <c r="J55" s="10">
        <f t="shared" si="1"/>
        <v>0.2335710599</v>
      </c>
      <c r="K55" s="10">
        <f t="shared" si="2"/>
        <v>0.06748238623</v>
      </c>
      <c r="L55" s="18">
        <v>276.698390007019</v>
      </c>
      <c r="M55" s="18">
        <v>27.6698390007019</v>
      </c>
      <c r="N55" s="14">
        <v>10.0</v>
      </c>
      <c r="O55" s="18">
        <v>1289.92009997368</v>
      </c>
      <c r="P55" s="18">
        <v>107.493341664473</v>
      </c>
      <c r="Q55" s="14">
        <v>12.0</v>
      </c>
      <c r="R55" s="14">
        <v>4.0</v>
      </c>
      <c r="S55" s="14">
        <v>10.0</v>
      </c>
      <c r="T55" s="14">
        <v>80.0</v>
      </c>
      <c r="U55" s="14">
        <v>4.0</v>
      </c>
      <c r="V55" s="12" t="str">
        <f t="shared" si="3"/>
        <v>geoverallgeVisual_NetworkVisual_Network</v>
      </c>
      <c r="W55" s="12" t="str">
        <f t="shared" si="4"/>
        <v>geoverallgeVisual_Network</v>
      </c>
    </row>
    <row r="56" hidden="1">
      <c r="A56" s="13">
        <v>118.0</v>
      </c>
      <c r="B56" s="14" t="s">
        <v>23</v>
      </c>
      <c r="C56" s="14" t="s">
        <v>24</v>
      </c>
      <c r="D56" s="14" t="s">
        <v>26</v>
      </c>
      <c r="E56" s="14" t="s">
        <v>24</v>
      </c>
      <c r="F56" s="14" t="s">
        <v>25</v>
      </c>
      <c r="G56" s="16"/>
      <c r="H56" s="16"/>
      <c r="I56" s="17"/>
      <c r="J56" s="10" t="str">
        <f t="shared" si="1"/>
        <v/>
      </c>
      <c r="K56" s="10" t="str">
        <f t="shared" si="2"/>
        <v/>
      </c>
      <c r="L56" s="18">
        <v>490.979625940323</v>
      </c>
      <c r="M56" s="18">
        <v>25.8410329442275</v>
      </c>
      <c r="N56" s="14">
        <v>19.0</v>
      </c>
      <c r="O56" s="19"/>
      <c r="P56" s="19"/>
      <c r="Q56" s="20"/>
      <c r="R56" s="20"/>
      <c r="S56" s="14">
        <v>10.0</v>
      </c>
      <c r="T56" s="14">
        <v>80.0</v>
      </c>
      <c r="U56" s="14">
        <v>4.0</v>
      </c>
      <c r="V56" s="12" t="str">
        <f t="shared" si="3"/>
        <v>geoverallmodularityoverallVisual_Network</v>
      </c>
      <c r="W56" s="12" t="str">
        <f t="shared" si="4"/>
        <v>geoverallmodularityoverall</v>
      </c>
    </row>
    <row r="57">
      <c r="J57" s="10"/>
      <c r="K57" s="10"/>
    </row>
    <row r="58">
      <c r="J58" s="10"/>
      <c r="K58" s="10"/>
    </row>
    <row r="59">
      <c r="J59" s="10"/>
      <c r="K59" s="10"/>
    </row>
    <row r="60">
      <c r="J60" s="10"/>
      <c r="K60" s="10"/>
    </row>
    <row r="61">
      <c r="J61" s="10"/>
      <c r="K61" s="10"/>
    </row>
    <row r="62">
      <c r="J62" s="10"/>
      <c r="K62" s="10"/>
    </row>
    <row r="63">
      <c r="J63" s="10"/>
      <c r="K63" s="10"/>
    </row>
    <row r="64">
      <c r="J64" s="10"/>
      <c r="K64" s="10"/>
    </row>
    <row r="65">
      <c r="J65" s="10"/>
      <c r="K65" s="10"/>
    </row>
    <row r="66">
      <c r="J66" s="10"/>
      <c r="K66" s="10"/>
    </row>
    <row r="67">
      <c r="J67" s="10"/>
      <c r="K67" s="10"/>
    </row>
    <row r="68">
      <c r="J68" s="10"/>
      <c r="K68" s="10"/>
    </row>
    <row r="69">
      <c r="J69" s="10"/>
      <c r="K69" s="10"/>
    </row>
    <row r="70">
      <c r="J70" s="10"/>
      <c r="K70" s="10"/>
    </row>
    <row r="71">
      <c r="J71" s="10"/>
      <c r="K71" s="10"/>
    </row>
    <row r="72">
      <c r="J72" s="10"/>
      <c r="K72" s="10"/>
    </row>
    <row r="73">
      <c r="J73" s="10"/>
      <c r="K73" s="10"/>
    </row>
    <row r="74">
      <c r="J74" s="10"/>
      <c r="K74" s="10"/>
    </row>
    <row r="75">
      <c r="J75" s="10"/>
      <c r="K75" s="10"/>
    </row>
    <row r="76">
      <c r="J76" s="10"/>
      <c r="K76" s="10"/>
    </row>
    <row r="77">
      <c r="J77" s="10"/>
      <c r="K77" s="10"/>
    </row>
    <row r="78">
      <c r="J78" s="10"/>
      <c r="K78" s="10"/>
    </row>
    <row r="79">
      <c r="J79" s="10"/>
      <c r="K79" s="10"/>
    </row>
    <row r="80">
      <c r="J80" s="10"/>
      <c r="K80" s="10"/>
    </row>
    <row r="81">
      <c r="J81" s="10"/>
      <c r="K81" s="10"/>
    </row>
    <row r="82">
      <c r="J82" s="10"/>
      <c r="K82" s="10"/>
    </row>
    <row r="83">
      <c r="J83" s="10"/>
      <c r="K83" s="10"/>
    </row>
    <row r="84">
      <c r="J84" s="10"/>
      <c r="K84" s="10"/>
    </row>
    <row r="85">
      <c r="J85" s="10"/>
      <c r="K85" s="10"/>
    </row>
    <row r="86">
      <c r="J86" s="10"/>
      <c r="K86" s="10"/>
    </row>
    <row r="87">
      <c r="J87" s="10"/>
      <c r="K87" s="10"/>
    </row>
    <row r="88">
      <c r="J88" s="10"/>
      <c r="K88" s="10"/>
    </row>
    <row r="89">
      <c r="J89" s="10"/>
      <c r="K89" s="10"/>
    </row>
    <row r="90">
      <c r="J90" s="10"/>
      <c r="K90" s="10"/>
    </row>
    <row r="91">
      <c r="J91" s="10"/>
      <c r="K91" s="10"/>
    </row>
    <row r="92">
      <c r="J92" s="10"/>
      <c r="K92" s="10"/>
    </row>
    <row r="93">
      <c r="J93" s="10"/>
      <c r="K93" s="10"/>
    </row>
    <row r="94">
      <c r="J94" s="10"/>
      <c r="K94" s="10"/>
    </row>
    <row r="95">
      <c r="J95" s="10"/>
      <c r="K95" s="10"/>
    </row>
    <row r="96">
      <c r="J96" s="10"/>
      <c r="K96" s="10"/>
    </row>
    <row r="97">
      <c r="J97" s="10"/>
      <c r="K97" s="10"/>
    </row>
    <row r="98">
      <c r="J98" s="10"/>
      <c r="K98" s="10"/>
    </row>
    <row r="99">
      <c r="J99" s="10"/>
      <c r="K99" s="10"/>
    </row>
    <row r="100">
      <c r="J100" s="10"/>
      <c r="K100" s="10"/>
    </row>
    <row r="101">
      <c r="J101" s="10"/>
      <c r="K101" s="10"/>
    </row>
    <row r="102">
      <c r="J102" s="10"/>
      <c r="K102" s="10"/>
    </row>
    <row r="103">
      <c r="J103" s="10"/>
      <c r="K103" s="10"/>
    </row>
    <row r="104">
      <c r="J104" s="10"/>
      <c r="K104" s="10"/>
    </row>
    <row r="105">
      <c r="J105" s="10"/>
      <c r="K105" s="10"/>
    </row>
    <row r="106">
      <c r="J106" s="10"/>
      <c r="K106" s="10"/>
    </row>
    <row r="107">
      <c r="J107" s="10"/>
      <c r="K107" s="10"/>
    </row>
    <row r="108">
      <c r="J108" s="10"/>
      <c r="K108" s="10"/>
    </row>
    <row r="109">
      <c r="J109" s="10"/>
      <c r="K109" s="10"/>
    </row>
    <row r="110">
      <c r="J110" s="10"/>
      <c r="K110" s="10"/>
    </row>
    <row r="111">
      <c r="J111" s="10"/>
      <c r="K111" s="10"/>
    </row>
    <row r="112">
      <c r="J112" s="10"/>
      <c r="K112" s="10"/>
    </row>
    <row r="113">
      <c r="J113" s="10"/>
      <c r="K113" s="10"/>
    </row>
    <row r="114">
      <c r="J114" s="10"/>
      <c r="K114" s="10"/>
    </row>
    <row r="115">
      <c r="J115" s="10"/>
      <c r="K115" s="10"/>
    </row>
    <row r="116">
      <c r="J116" s="10"/>
      <c r="K116" s="10"/>
    </row>
    <row r="117">
      <c r="J117" s="10"/>
      <c r="K117" s="10"/>
    </row>
    <row r="118">
      <c r="J118" s="10"/>
      <c r="K118" s="10"/>
    </row>
    <row r="119">
      <c r="J119" s="10"/>
      <c r="K119" s="10"/>
    </row>
    <row r="120">
      <c r="J120" s="10"/>
      <c r="K120" s="10"/>
    </row>
    <row r="121">
      <c r="J121" s="10"/>
      <c r="K121" s="10"/>
    </row>
    <row r="122">
      <c r="J122" s="10"/>
      <c r="K122" s="10"/>
    </row>
    <row r="123">
      <c r="J123" s="10"/>
      <c r="K123" s="10"/>
    </row>
    <row r="124">
      <c r="J124" s="10"/>
      <c r="K124" s="10"/>
    </row>
    <row r="125">
      <c r="J125" s="10"/>
      <c r="K125" s="10"/>
    </row>
    <row r="126">
      <c r="J126" s="10"/>
      <c r="K126" s="10"/>
    </row>
    <row r="127">
      <c r="J127" s="10"/>
      <c r="K127" s="10"/>
    </row>
    <row r="128">
      <c r="J128" s="10"/>
      <c r="K128" s="10"/>
    </row>
    <row r="129">
      <c r="J129" s="10"/>
      <c r="K129" s="10"/>
    </row>
    <row r="130">
      <c r="J130" s="10"/>
      <c r="K130" s="10"/>
    </row>
    <row r="131">
      <c r="J131" s="10"/>
      <c r="K131" s="10"/>
    </row>
    <row r="132">
      <c r="J132" s="10"/>
      <c r="K132" s="10"/>
    </row>
    <row r="133">
      <c r="J133" s="10"/>
      <c r="K133" s="10"/>
    </row>
    <row r="134">
      <c r="J134" s="10"/>
      <c r="K134" s="10"/>
    </row>
    <row r="135">
      <c r="J135" s="10"/>
      <c r="K135" s="10"/>
    </row>
    <row r="136">
      <c r="J136" s="10"/>
      <c r="K136" s="10"/>
    </row>
    <row r="137">
      <c r="J137" s="10"/>
      <c r="K137" s="10"/>
    </row>
    <row r="138">
      <c r="J138" s="10"/>
      <c r="K138" s="10"/>
    </row>
    <row r="139">
      <c r="J139" s="10"/>
      <c r="K139" s="10"/>
    </row>
    <row r="140">
      <c r="J140" s="10"/>
      <c r="K140" s="10"/>
    </row>
    <row r="141">
      <c r="J141" s="10"/>
      <c r="K141" s="10"/>
    </row>
    <row r="142">
      <c r="J142" s="10"/>
      <c r="K142" s="10"/>
    </row>
    <row r="143">
      <c r="J143" s="10"/>
      <c r="K143" s="10"/>
    </row>
    <row r="144">
      <c r="J144" s="10"/>
      <c r="K144" s="10"/>
    </row>
    <row r="145">
      <c r="J145" s="10"/>
      <c r="K145" s="10"/>
    </row>
    <row r="146">
      <c r="J146" s="10"/>
      <c r="K146" s="10"/>
    </row>
    <row r="147">
      <c r="J147" s="10"/>
      <c r="K147" s="10"/>
    </row>
    <row r="148">
      <c r="J148" s="10"/>
      <c r="K148" s="10"/>
    </row>
    <row r="149">
      <c r="J149" s="10"/>
      <c r="K149" s="10"/>
    </row>
    <row r="150">
      <c r="J150" s="10"/>
      <c r="K150" s="10"/>
    </row>
    <row r="151">
      <c r="J151" s="10"/>
      <c r="K151" s="10"/>
    </row>
    <row r="152">
      <c r="J152" s="10"/>
      <c r="K152" s="10"/>
    </row>
    <row r="153">
      <c r="J153" s="10"/>
      <c r="K153" s="10"/>
    </row>
    <row r="154">
      <c r="J154" s="10"/>
      <c r="K154" s="10"/>
    </row>
    <row r="155">
      <c r="J155" s="10"/>
      <c r="K155" s="10"/>
    </row>
    <row r="156">
      <c r="J156" s="10"/>
      <c r="K156" s="10"/>
    </row>
    <row r="157">
      <c r="J157" s="10"/>
      <c r="K157" s="10"/>
    </row>
    <row r="158">
      <c r="J158" s="10"/>
      <c r="K158" s="10"/>
    </row>
    <row r="159">
      <c r="J159" s="10"/>
      <c r="K159" s="10"/>
    </row>
    <row r="160">
      <c r="J160" s="10"/>
      <c r="K160" s="10"/>
    </row>
    <row r="161">
      <c r="J161" s="10"/>
      <c r="K161" s="10"/>
    </row>
    <row r="162">
      <c r="J162" s="10"/>
      <c r="K162" s="10"/>
    </row>
    <row r="163">
      <c r="J163" s="10"/>
      <c r="K163" s="10"/>
    </row>
    <row r="164">
      <c r="J164" s="10"/>
      <c r="K164" s="10"/>
    </row>
    <row r="165">
      <c r="J165" s="10"/>
      <c r="K165" s="10"/>
    </row>
    <row r="166">
      <c r="J166" s="10"/>
      <c r="K166" s="10"/>
    </row>
    <row r="167">
      <c r="J167" s="10"/>
      <c r="K167" s="10"/>
    </row>
    <row r="168">
      <c r="J168" s="10"/>
      <c r="K168" s="10"/>
    </row>
    <row r="169">
      <c r="J169" s="10"/>
      <c r="K169" s="10"/>
    </row>
    <row r="170">
      <c r="J170" s="10"/>
      <c r="K170" s="10"/>
    </row>
    <row r="171">
      <c r="J171" s="10"/>
      <c r="K171" s="10"/>
    </row>
    <row r="172">
      <c r="J172" s="10"/>
      <c r="K172" s="10"/>
    </row>
    <row r="173">
      <c r="J173" s="10"/>
      <c r="K173" s="10"/>
    </row>
    <row r="174">
      <c r="J174" s="10"/>
      <c r="K174" s="10"/>
    </row>
    <row r="175">
      <c r="J175" s="10"/>
      <c r="K175" s="10"/>
    </row>
    <row r="176">
      <c r="J176" s="10"/>
      <c r="K176" s="10"/>
    </row>
    <row r="177">
      <c r="J177" s="10"/>
      <c r="K177" s="10"/>
    </row>
    <row r="178">
      <c r="J178" s="10"/>
      <c r="K178" s="10"/>
    </row>
    <row r="179">
      <c r="J179" s="10"/>
      <c r="K179" s="10"/>
    </row>
    <row r="180">
      <c r="J180" s="10"/>
      <c r="K180" s="10"/>
    </row>
    <row r="181">
      <c r="J181" s="10"/>
      <c r="K181" s="10"/>
    </row>
    <row r="182">
      <c r="J182" s="10"/>
      <c r="K182" s="10"/>
    </row>
    <row r="183">
      <c r="J183" s="10"/>
      <c r="K183" s="10"/>
    </row>
    <row r="184">
      <c r="J184" s="10"/>
      <c r="K184" s="10"/>
    </row>
    <row r="185">
      <c r="J185" s="10"/>
      <c r="K185" s="10"/>
    </row>
    <row r="186">
      <c r="J186" s="10"/>
      <c r="K186" s="10"/>
    </row>
    <row r="187">
      <c r="J187" s="10"/>
      <c r="K187" s="10"/>
    </row>
    <row r="188">
      <c r="J188" s="10"/>
      <c r="K188" s="10"/>
    </row>
    <row r="189">
      <c r="J189" s="10"/>
      <c r="K189" s="10"/>
    </row>
    <row r="190">
      <c r="J190" s="10"/>
      <c r="K190" s="10"/>
    </row>
    <row r="191">
      <c r="J191" s="10"/>
      <c r="K191" s="10"/>
    </row>
    <row r="192">
      <c r="J192" s="10"/>
      <c r="K192" s="10"/>
    </row>
    <row r="193">
      <c r="J193" s="10"/>
      <c r="K193" s="10"/>
    </row>
    <row r="194">
      <c r="J194" s="10"/>
      <c r="K194" s="10"/>
    </row>
    <row r="195">
      <c r="J195" s="10"/>
      <c r="K195" s="10"/>
    </row>
    <row r="196">
      <c r="J196" s="10"/>
      <c r="K196" s="10"/>
    </row>
    <row r="197">
      <c r="J197" s="10"/>
      <c r="K197" s="10"/>
    </row>
    <row r="198">
      <c r="J198" s="10"/>
      <c r="K198" s="10"/>
    </row>
    <row r="199">
      <c r="J199" s="10"/>
      <c r="K199" s="10"/>
    </row>
    <row r="200">
      <c r="J200" s="10"/>
      <c r="K200" s="10"/>
    </row>
    <row r="201">
      <c r="J201" s="10"/>
      <c r="K201" s="10"/>
    </row>
    <row r="202">
      <c r="J202" s="10"/>
      <c r="K202" s="10"/>
    </row>
    <row r="203">
      <c r="J203" s="10"/>
      <c r="K203" s="10"/>
    </row>
    <row r="204">
      <c r="J204" s="10"/>
      <c r="K204" s="10"/>
    </row>
    <row r="205">
      <c r="J205" s="10"/>
      <c r="K205" s="10"/>
    </row>
    <row r="206">
      <c r="J206" s="10"/>
      <c r="K206" s="10"/>
    </row>
    <row r="207">
      <c r="J207" s="10"/>
      <c r="K207" s="10"/>
    </row>
    <row r="208">
      <c r="J208" s="10"/>
      <c r="K208" s="10"/>
    </row>
    <row r="209">
      <c r="J209" s="10"/>
      <c r="K209" s="10"/>
    </row>
    <row r="210">
      <c r="J210" s="10"/>
      <c r="K210" s="10"/>
    </row>
    <row r="211">
      <c r="J211" s="10"/>
      <c r="K211" s="10"/>
    </row>
    <row r="212">
      <c r="J212" s="10"/>
      <c r="K212" s="10"/>
    </row>
    <row r="213">
      <c r="J213" s="10"/>
      <c r="K213" s="10"/>
    </row>
    <row r="214">
      <c r="J214" s="10"/>
      <c r="K214" s="10"/>
    </row>
    <row r="215">
      <c r="J215" s="10"/>
      <c r="K215" s="10"/>
    </row>
    <row r="216">
      <c r="J216" s="10"/>
      <c r="K216" s="10"/>
    </row>
    <row r="217">
      <c r="J217" s="10"/>
      <c r="K217" s="10"/>
    </row>
    <row r="218">
      <c r="J218" s="10"/>
      <c r="K218" s="10"/>
    </row>
    <row r="219">
      <c r="J219" s="10"/>
      <c r="K219" s="10"/>
    </row>
    <row r="220">
      <c r="J220" s="10"/>
      <c r="K220" s="10"/>
    </row>
    <row r="221">
      <c r="J221" s="10"/>
      <c r="K221" s="10"/>
    </row>
    <row r="222">
      <c r="J222" s="10"/>
      <c r="K222" s="10"/>
    </row>
    <row r="223">
      <c r="J223" s="10"/>
      <c r="K223" s="10"/>
    </row>
    <row r="224">
      <c r="J224" s="10"/>
      <c r="K224" s="10"/>
    </row>
    <row r="225">
      <c r="J225" s="10"/>
      <c r="K225" s="10"/>
    </row>
    <row r="226">
      <c r="J226" s="10"/>
      <c r="K226" s="10"/>
    </row>
    <row r="227">
      <c r="J227" s="10"/>
      <c r="K227" s="10"/>
    </row>
    <row r="228">
      <c r="J228" s="10"/>
      <c r="K228" s="10"/>
    </row>
    <row r="229">
      <c r="J229" s="10"/>
      <c r="K229" s="10"/>
    </row>
    <row r="230">
      <c r="J230" s="10"/>
      <c r="K230" s="10"/>
    </row>
    <row r="231">
      <c r="J231" s="10"/>
      <c r="K231" s="10"/>
    </row>
    <row r="232">
      <c r="J232" s="10"/>
      <c r="K232" s="10"/>
    </row>
    <row r="233">
      <c r="J233" s="10"/>
      <c r="K233" s="10"/>
    </row>
    <row r="234">
      <c r="J234" s="10"/>
      <c r="K234" s="10"/>
    </row>
    <row r="235">
      <c r="J235" s="10"/>
      <c r="K235" s="10"/>
    </row>
    <row r="236">
      <c r="J236" s="10"/>
      <c r="K236" s="10"/>
    </row>
    <row r="237">
      <c r="J237" s="10"/>
      <c r="K237" s="10"/>
    </row>
    <row r="238">
      <c r="J238" s="10"/>
      <c r="K238" s="10"/>
    </row>
    <row r="239">
      <c r="J239" s="10"/>
      <c r="K239" s="10"/>
    </row>
    <row r="240">
      <c r="J240" s="10"/>
      <c r="K240" s="10"/>
    </row>
    <row r="241">
      <c r="J241" s="10"/>
      <c r="K241" s="10"/>
    </row>
    <row r="242">
      <c r="J242" s="10"/>
      <c r="K242" s="10"/>
    </row>
    <row r="243">
      <c r="J243" s="10"/>
      <c r="K243" s="10"/>
    </row>
    <row r="244">
      <c r="J244" s="10"/>
      <c r="K244" s="10"/>
    </row>
    <row r="245">
      <c r="J245" s="10"/>
      <c r="K245" s="10"/>
    </row>
    <row r="246">
      <c r="J246" s="10"/>
      <c r="K246" s="10"/>
    </row>
    <row r="247">
      <c r="J247" s="10"/>
      <c r="K247" s="10"/>
    </row>
    <row r="248">
      <c r="J248" s="10"/>
      <c r="K248" s="10"/>
    </row>
    <row r="249">
      <c r="J249" s="10"/>
      <c r="K249" s="10"/>
    </row>
    <row r="250">
      <c r="J250" s="10"/>
      <c r="K250" s="10"/>
    </row>
    <row r="251">
      <c r="J251" s="10"/>
      <c r="K251" s="10"/>
    </row>
    <row r="252">
      <c r="J252" s="10"/>
      <c r="K252" s="10"/>
    </row>
    <row r="253">
      <c r="J253" s="10"/>
      <c r="K253" s="10"/>
    </row>
    <row r="254">
      <c r="J254" s="10"/>
      <c r="K254" s="10"/>
    </row>
    <row r="255">
      <c r="J255" s="10"/>
      <c r="K255" s="10"/>
    </row>
    <row r="256">
      <c r="J256" s="10"/>
      <c r="K256" s="10"/>
    </row>
    <row r="257">
      <c r="J257" s="10"/>
      <c r="K257" s="10"/>
    </row>
    <row r="258">
      <c r="J258" s="10"/>
      <c r="K258" s="10"/>
    </row>
    <row r="259">
      <c r="J259" s="10"/>
      <c r="K259" s="10"/>
    </row>
    <row r="260">
      <c r="J260" s="10"/>
      <c r="K260" s="10"/>
    </row>
    <row r="261">
      <c r="J261" s="10"/>
      <c r="K261" s="10"/>
    </row>
    <row r="262">
      <c r="J262" s="10"/>
      <c r="K262" s="10"/>
    </row>
    <row r="263">
      <c r="J263" s="10"/>
      <c r="K263" s="10"/>
    </row>
    <row r="264">
      <c r="J264" s="10"/>
      <c r="K264" s="10"/>
    </row>
    <row r="265">
      <c r="J265" s="10"/>
      <c r="K265" s="10"/>
    </row>
    <row r="266">
      <c r="J266" s="10"/>
      <c r="K266" s="10"/>
    </row>
    <row r="267">
      <c r="J267" s="10"/>
      <c r="K267" s="10"/>
    </row>
    <row r="268">
      <c r="J268" s="10"/>
      <c r="K268" s="10"/>
    </row>
    <row r="269">
      <c r="J269" s="10"/>
      <c r="K269" s="10"/>
    </row>
    <row r="270">
      <c r="J270" s="10"/>
      <c r="K270" s="10"/>
    </row>
    <row r="271">
      <c r="J271" s="10"/>
      <c r="K271" s="10"/>
    </row>
    <row r="272">
      <c r="J272" s="10"/>
      <c r="K272" s="10"/>
    </row>
    <row r="273">
      <c r="J273" s="10"/>
      <c r="K273" s="10"/>
    </row>
    <row r="274">
      <c r="J274" s="10"/>
      <c r="K274" s="10"/>
    </row>
    <row r="275">
      <c r="J275" s="10"/>
      <c r="K275" s="10"/>
    </row>
    <row r="276">
      <c r="J276" s="10"/>
      <c r="K276" s="10"/>
    </row>
    <row r="277">
      <c r="J277" s="10"/>
      <c r="K277" s="10"/>
    </row>
    <row r="278">
      <c r="J278" s="10"/>
      <c r="K278" s="10"/>
    </row>
    <row r="279">
      <c r="J279" s="10"/>
      <c r="K279" s="10"/>
    </row>
    <row r="280">
      <c r="J280" s="10"/>
      <c r="K280" s="10"/>
    </row>
    <row r="281">
      <c r="J281" s="10"/>
      <c r="K281" s="10"/>
    </row>
    <row r="282">
      <c r="J282" s="10"/>
      <c r="K282" s="10"/>
    </row>
    <row r="283">
      <c r="J283" s="10"/>
      <c r="K283" s="10"/>
    </row>
    <row r="284">
      <c r="J284" s="10"/>
      <c r="K284" s="10"/>
    </row>
    <row r="285">
      <c r="J285" s="10"/>
      <c r="K285" s="10"/>
    </row>
    <row r="286">
      <c r="J286" s="10"/>
      <c r="K286" s="10"/>
    </row>
    <row r="287">
      <c r="J287" s="10"/>
      <c r="K287" s="10"/>
    </row>
    <row r="288">
      <c r="J288" s="10"/>
      <c r="K288" s="10"/>
    </row>
    <row r="289">
      <c r="J289" s="10"/>
      <c r="K289" s="10"/>
    </row>
    <row r="290">
      <c r="J290" s="10"/>
      <c r="K290" s="10"/>
    </row>
    <row r="291">
      <c r="J291" s="10"/>
      <c r="K291" s="10"/>
    </row>
    <row r="292">
      <c r="J292" s="10"/>
      <c r="K292" s="10"/>
    </row>
    <row r="293">
      <c r="J293" s="10"/>
      <c r="K293" s="10"/>
    </row>
    <row r="294">
      <c r="J294" s="10"/>
      <c r="K294" s="10"/>
    </row>
    <row r="295">
      <c r="J295" s="10"/>
      <c r="K295" s="10"/>
    </row>
    <row r="296">
      <c r="J296" s="10"/>
      <c r="K296" s="10"/>
    </row>
    <row r="297">
      <c r="J297" s="10"/>
      <c r="K297" s="10"/>
    </row>
    <row r="298">
      <c r="J298" s="10"/>
      <c r="K298" s="10"/>
    </row>
    <row r="299">
      <c r="J299" s="10"/>
      <c r="K299" s="10"/>
    </row>
    <row r="300">
      <c r="J300" s="10"/>
      <c r="K300" s="10"/>
    </row>
    <row r="301">
      <c r="J301" s="10"/>
      <c r="K301" s="10"/>
    </row>
    <row r="302">
      <c r="J302" s="10"/>
      <c r="K302" s="10"/>
    </row>
    <row r="303">
      <c r="J303" s="10"/>
      <c r="K303" s="10"/>
    </row>
    <row r="304">
      <c r="J304" s="10"/>
      <c r="K304" s="10"/>
    </row>
    <row r="305">
      <c r="J305" s="10"/>
      <c r="K305" s="10"/>
    </row>
    <row r="306">
      <c r="J306" s="10"/>
      <c r="K306" s="10"/>
    </row>
    <row r="307">
      <c r="J307" s="10"/>
      <c r="K307" s="10"/>
    </row>
    <row r="308">
      <c r="J308" s="10"/>
      <c r="K308" s="10"/>
    </row>
    <row r="309">
      <c r="J309" s="10"/>
      <c r="K309" s="10"/>
    </row>
    <row r="310">
      <c r="J310" s="10"/>
      <c r="K310" s="10"/>
    </row>
    <row r="311">
      <c r="J311" s="10"/>
      <c r="K311" s="10"/>
    </row>
    <row r="312">
      <c r="J312" s="10"/>
      <c r="K312" s="10"/>
    </row>
    <row r="313">
      <c r="J313" s="10"/>
      <c r="K313" s="10"/>
    </row>
    <row r="314">
      <c r="J314" s="10"/>
      <c r="K314" s="10"/>
    </row>
    <row r="315">
      <c r="J315" s="10"/>
      <c r="K315" s="10"/>
    </row>
    <row r="316">
      <c r="J316" s="10"/>
      <c r="K316" s="10"/>
    </row>
    <row r="317">
      <c r="J317" s="10"/>
      <c r="K317" s="10"/>
    </row>
    <row r="318">
      <c r="J318" s="10"/>
      <c r="K318" s="10"/>
    </row>
    <row r="319">
      <c r="J319" s="10"/>
      <c r="K319" s="10"/>
    </row>
    <row r="320">
      <c r="J320" s="10"/>
      <c r="K320" s="10"/>
    </row>
    <row r="321">
      <c r="J321" s="10"/>
      <c r="K321" s="10"/>
    </row>
    <row r="322">
      <c r="J322" s="10"/>
      <c r="K322" s="10"/>
    </row>
    <row r="323">
      <c r="J323" s="10"/>
      <c r="K323" s="10"/>
    </row>
    <row r="324">
      <c r="J324" s="10"/>
      <c r="K324" s="10"/>
    </row>
    <row r="325">
      <c r="J325" s="10"/>
      <c r="K325" s="10"/>
    </row>
    <row r="326">
      <c r="J326" s="10"/>
      <c r="K326" s="10"/>
    </row>
    <row r="327">
      <c r="J327" s="10"/>
      <c r="K327" s="10"/>
    </row>
    <row r="328">
      <c r="J328" s="10"/>
      <c r="K328" s="10"/>
    </row>
    <row r="329">
      <c r="J329" s="10"/>
      <c r="K329" s="10"/>
    </row>
    <row r="330">
      <c r="J330" s="10"/>
      <c r="K330" s="10"/>
    </row>
    <row r="331">
      <c r="J331" s="10"/>
      <c r="K331" s="10"/>
    </row>
    <row r="332">
      <c r="J332" s="10"/>
      <c r="K332" s="10"/>
    </row>
    <row r="333">
      <c r="J333" s="10"/>
      <c r="K333" s="10"/>
    </row>
    <row r="334">
      <c r="J334" s="10"/>
      <c r="K334" s="10"/>
    </row>
    <row r="335">
      <c r="J335" s="10"/>
      <c r="K335" s="10"/>
    </row>
    <row r="336">
      <c r="J336" s="10"/>
      <c r="K336" s="10"/>
    </row>
    <row r="337">
      <c r="J337" s="10"/>
      <c r="K337" s="10"/>
    </row>
    <row r="338">
      <c r="J338" s="10"/>
      <c r="K338" s="10"/>
    </row>
    <row r="339">
      <c r="J339" s="10"/>
      <c r="K339" s="10"/>
    </row>
    <row r="340">
      <c r="J340" s="10"/>
      <c r="K340" s="10"/>
    </row>
    <row r="341">
      <c r="J341" s="10"/>
      <c r="K341" s="10"/>
    </row>
    <row r="342">
      <c r="J342" s="10"/>
      <c r="K342" s="10"/>
    </row>
    <row r="343">
      <c r="J343" s="10"/>
      <c r="K343" s="10"/>
    </row>
    <row r="344">
      <c r="J344" s="10"/>
      <c r="K344" s="10"/>
    </row>
    <row r="345">
      <c r="J345" s="10"/>
      <c r="K345" s="10"/>
    </row>
    <row r="346">
      <c r="J346" s="10"/>
      <c r="K346" s="10"/>
    </row>
    <row r="347">
      <c r="J347" s="10"/>
      <c r="K347" s="10"/>
    </row>
    <row r="348">
      <c r="J348" s="10"/>
      <c r="K348" s="10"/>
    </row>
    <row r="349">
      <c r="J349" s="10"/>
      <c r="K349" s="10"/>
    </row>
    <row r="350">
      <c r="J350" s="10"/>
      <c r="K350" s="10"/>
    </row>
    <row r="351">
      <c r="J351" s="10"/>
      <c r="K351" s="10"/>
    </row>
    <row r="352">
      <c r="J352" s="10"/>
      <c r="K352" s="10"/>
    </row>
    <row r="353">
      <c r="J353" s="10"/>
      <c r="K353" s="10"/>
    </row>
    <row r="354">
      <c r="J354" s="10"/>
      <c r="K354" s="10"/>
    </row>
    <row r="355">
      <c r="J355" s="10"/>
      <c r="K355" s="10"/>
    </row>
    <row r="356">
      <c r="J356" s="10"/>
      <c r="K356" s="10"/>
    </row>
    <row r="357">
      <c r="J357" s="10"/>
      <c r="K357" s="10"/>
    </row>
    <row r="358">
      <c r="J358" s="10"/>
      <c r="K358" s="10"/>
    </row>
    <row r="359">
      <c r="J359" s="10"/>
      <c r="K359" s="10"/>
    </row>
    <row r="360">
      <c r="J360" s="10"/>
      <c r="K360" s="10"/>
    </row>
    <row r="361">
      <c r="J361" s="10"/>
      <c r="K361" s="10"/>
    </row>
    <row r="362">
      <c r="J362" s="10"/>
      <c r="K362" s="10"/>
    </row>
    <row r="363">
      <c r="J363" s="10"/>
      <c r="K363" s="10"/>
    </row>
    <row r="364">
      <c r="J364" s="10"/>
      <c r="K364" s="10"/>
    </row>
    <row r="365">
      <c r="J365" s="10"/>
      <c r="K365" s="10"/>
    </row>
    <row r="366">
      <c r="J366" s="10"/>
      <c r="K366" s="10"/>
    </row>
    <row r="367">
      <c r="J367" s="10"/>
      <c r="K367" s="10"/>
    </row>
    <row r="368">
      <c r="J368" s="10"/>
      <c r="K368" s="10"/>
    </row>
    <row r="369">
      <c r="J369" s="10"/>
      <c r="K369" s="10"/>
    </row>
    <row r="370">
      <c r="J370" s="10"/>
      <c r="K370" s="10"/>
    </row>
    <row r="371">
      <c r="J371" s="10"/>
      <c r="K371" s="10"/>
    </row>
    <row r="372">
      <c r="J372" s="10"/>
      <c r="K372" s="10"/>
    </row>
    <row r="373">
      <c r="J373" s="10"/>
      <c r="K373" s="10"/>
    </row>
    <row r="374">
      <c r="J374" s="10"/>
      <c r="K374" s="10"/>
    </row>
    <row r="375">
      <c r="J375" s="10"/>
      <c r="K375" s="10"/>
    </row>
    <row r="376">
      <c r="J376" s="10"/>
      <c r="K376" s="10"/>
    </row>
    <row r="377">
      <c r="J377" s="10"/>
      <c r="K377" s="10"/>
    </row>
    <row r="378">
      <c r="J378" s="10"/>
      <c r="K378" s="10"/>
    </row>
    <row r="379">
      <c r="J379" s="10"/>
      <c r="K379" s="10"/>
    </row>
    <row r="380">
      <c r="J380" s="10"/>
      <c r="K380" s="10"/>
    </row>
    <row r="381">
      <c r="J381" s="10"/>
      <c r="K381" s="10"/>
    </row>
    <row r="382">
      <c r="J382" s="10"/>
      <c r="K382" s="10"/>
    </row>
    <row r="383">
      <c r="J383" s="10"/>
      <c r="K383" s="10"/>
    </row>
    <row r="384">
      <c r="J384" s="10"/>
      <c r="K384" s="10"/>
    </row>
    <row r="385">
      <c r="J385" s="10"/>
      <c r="K385" s="10"/>
    </row>
    <row r="386">
      <c r="J386" s="10"/>
      <c r="K386" s="10"/>
    </row>
    <row r="387">
      <c r="J387" s="10"/>
      <c r="K387" s="10"/>
    </row>
    <row r="388">
      <c r="J388" s="10"/>
      <c r="K388" s="10"/>
    </row>
    <row r="389">
      <c r="J389" s="10"/>
      <c r="K389" s="10"/>
    </row>
    <row r="390">
      <c r="J390" s="10"/>
      <c r="K390" s="10"/>
    </row>
    <row r="391">
      <c r="J391" s="10"/>
      <c r="K391" s="10"/>
    </row>
    <row r="392">
      <c r="J392" s="10"/>
      <c r="K392" s="10"/>
    </row>
    <row r="393">
      <c r="J393" s="10"/>
      <c r="K393" s="10"/>
    </row>
    <row r="394">
      <c r="J394" s="10"/>
      <c r="K394" s="10"/>
    </row>
    <row r="395">
      <c r="J395" s="10"/>
      <c r="K395" s="10"/>
    </row>
    <row r="396">
      <c r="J396" s="10"/>
      <c r="K396" s="10"/>
    </row>
    <row r="397">
      <c r="J397" s="10"/>
      <c r="K397" s="10"/>
    </row>
    <row r="398">
      <c r="J398" s="10"/>
      <c r="K398" s="10"/>
    </row>
    <row r="399">
      <c r="J399" s="10"/>
      <c r="K399" s="10"/>
    </row>
    <row r="400">
      <c r="J400" s="10"/>
      <c r="K400" s="10"/>
    </row>
    <row r="401">
      <c r="J401" s="10"/>
      <c r="K401" s="10"/>
    </row>
    <row r="402">
      <c r="J402" s="10"/>
      <c r="K402" s="10"/>
    </row>
    <row r="403">
      <c r="J403" s="10"/>
      <c r="K403" s="10"/>
    </row>
    <row r="404">
      <c r="J404" s="10"/>
      <c r="K404" s="10"/>
    </row>
    <row r="405">
      <c r="J405" s="10"/>
      <c r="K405" s="10"/>
    </row>
    <row r="406">
      <c r="J406" s="10"/>
      <c r="K406" s="10"/>
    </row>
    <row r="407">
      <c r="J407" s="10"/>
      <c r="K407" s="10"/>
    </row>
    <row r="408">
      <c r="J408" s="10"/>
      <c r="K408" s="10"/>
    </row>
    <row r="409">
      <c r="J409" s="10"/>
      <c r="K409" s="10"/>
    </row>
    <row r="410">
      <c r="J410" s="10"/>
      <c r="K410" s="10"/>
    </row>
    <row r="411">
      <c r="J411" s="10"/>
      <c r="K411" s="10"/>
    </row>
    <row r="412">
      <c r="J412" s="10"/>
      <c r="K412" s="10"/>
    </row>
    <row r="413">
      <c r="J413" s="10"/>
      <c r="K413" s="10"/>
    </row>
    <row r="414">
      <c r="J414" s="10"/>
      <c r="K414" s="10"/>
    </row>
    <row r="415">
      <c r="J415" s="10"/>
      <c r="K415" s="10"/>
    </row>
    <row r="416">
      <c r="J416" s="10"/>
      <c r="K416" s="10"/>
    </row>
    <row r="417">
      <c r="J417" s="10"/>
      <c r="K417" s="10"/>
    </row>
    <row r="418">
      <c r="J418" s="10"/>
      <c r="K418" s="10"/>
    </row>
    <row r="419">
      <c r="J419" s="10"/>
      <c r="K419" s="10"/>
    </row>
    <row r="420">
      <c r="J420" s="10"/>
      <c r="K420" s="10"/>
    </row>
    <row r="421">
      <c r="J421" s="10"/>
      <c r="K421" s="10"/>
    </row>
    <row r="422">
      <c r="J422" s="10"/>
      <c r="K422" s="10"/>
    </row>
    <row r="423">
      <c r="J423" s="10"/>
      <c r="K423" s="10"/>
    </row>
    <row r="424">
      <c r="J424" s="10"/>
      <c r="K424" s="10"/>
    </row>
    <row r="425">
      <c r="J425" s="10"/>
      <c r="K425" s="10"/>
    </row>
    <row r="426">
      <c r="J426" s="10"/>
      <c r="K426" s="10"/>
    </row>
    <row r="427">
      <c r="J427" s="10"/>
      <c r="K427" s="10"/>
    </row>
    <row r="428">
      <c r="J428" s="10"/>
      <c r="K428" s="10"/>
    </row>
    <row r="429">
      <c r="J429" s="10"/>
      <c r="K429" s="10"/>
    </row>
    <row r="430">
      <c r="J430" s="10"/>
      <c r="K430" s="10"/>
    </row>
    <row r="431">
      <c r="J431" s="10"/>
      <c r="K431" s="10"/>
    </row>
    <row r="432">
      <c r="J432" s="10"/>
      <c r="K432" s="10"/>
    </row>
    <row r="433">
      <c r="J433" s="10"/>
      <c r="K433" s="10"/>
    </row>
    <row r="434">
      <c r="J434" s="10"/>
      <c r="K434" s="10"/>
    </row>
    <row r="435">
      <c r="J435" s="10"/>
      <c r="K435" s="10"/>
    </row>
    <row r="436">
      <c r="J436" s="10"/>
      <c r="K436" s="10"/>
    </row>
    <row r="437">
      <c r="J437" s="10"/>
      <c r="K437" s="10"/>
    </row>
    <row r="438">
      <c r="J438" s="10"/>
      <c r="K438" s="10"/>
    </row>
    <row r="439">
      <c r="J439" s="10"/>
      <c r="K439" s="10"/>
    </row>
    <row r="440">
      <c r="J440" s="10"/>
      <c r="K440" s="10"/>
    </row>
    <row r="441">
      <c r="J441" s="10"/>
      <c r="K441" s="10"/>
    </row>
    <row r="442">
      <c r="J442" s="10"/>
      <c r="K442" s="10"/>
    </row>
    <row r="443">
      <c r="J443" s="10"/>
      <c r="K443" s="10"/>
    </row>
    <row r="444">
      <c r="J444" s="10"/>
      <c r="K444" s="10"/>
    </row>
    <row r="445">
      <c r="J445" s="10"/>
      <c r="K445" s="10"/>
    </row>
    <row r="446">
      <c r="J446" s="10"/>
      <c r="K446" s="10"/>
    </row>
    <row r="447">
      <c r="J447" s="10"/>
      <c r="K447" s="10"/>
    </row>
    <row r="448">
      <c r="J448" s="10"/>
      <c r="K448" s="10"/>
    </row>
    <row r="449">
      <c r="J449" s="10"/>
      <c r="K449" s="10"/>
    </row>
    <row r="450">
      <c r="J450" s="10"/>
      <c r="K450" s="10"/>
    </row>
    <row r="451">
      <c r="J451" s="10"/>
      <c r="K451" s="10"/>
    </row>
    <row r="452">
      <c r="J452" s="10"/>
      <c r="K452" s="10"/>
    </row>
    <row r="453">
      <c r="J453" s="10"/>
      <c r="K453" s="10"/>
    </row>
    <row r="454">
      <c r="J454" s="10"/>
      <c r="K454" s="10"/>
    </row>
    <row r="455">
      <c r="J455" s="10"/>
      <c r="K455" s="10"/>
    </row>
    <row r="456">
      <c r="J456" s="10"/>
      <c r="K456" s="10"/>
    </row>
    <row r="457">
      <c r="J457" s="10"/>
      <c r="K457" s="10"/>
    </row>
    <row r="458">
      <c r="J458" s="10"/>
      <c r="K458" s="10"/>
    </row>
    <row r="459">
      <c r="J459" s="10"/>
      <c r="K459" s="10"/>
    </row>
    <row r="460">
      <c r="J460" s="10"/>
      <c r="K460" s="10"/>
    </row>
    <row r="461">
      <c r="J461" s="10"/>
      <c r="K461" s="10"/>
    </row>
    <row r="462">
      <c r="J462" s="10"/>
      <c r="K462" s="10"/>
    </row>
    <row r="463">
      <c r="J463" s="10"/>
      <c r="K463" s="10"/>
    </row>
    <row r="464">
      <c r="J464" s="10"/>
      <c r="K464" s="10"/>
    </row>
    <row r="465">
      <c r="J465" s="10"/>
      <c r="K465" s="10"/>
    </row>
    <row r="466">
      <c r="J466" s="10"/>
      <c r="K466" s="10"/>
    </row>
    <row r="467">
      <c r="J467" s="10"/>
      <c r="K467" s="10"/>
    </row>
    <row r="468">
      <c r="J468" s="10"/>
      <c r="K468" s="10"/>
    </row>
    <row r="469">
      <c r="J469" s="10"/>
      <c r="K469" s="10"/>
    </row>
    <row r="470">
      <c r="J470" s="10"/>
      <c r="K470" s="10"/>
    </row>
    <row r="471">
      <c r="J471" s="10"/>
      <c r="K471" s="10"/>
    </row>
    <row r="472">
      <c r="J472" s="10"/>
      <c r="K472" s="10"/>
    </row>
    <row r="473">
      <c r="J473" s="10"/>
      <c r="K473" s="10"/>
    </row>
    <row r="474">
      <c r="J474" s="10"/>
      <c r="K474" s="10"/>
    </row>
    <row r="475">
      <c r="J475" s="10"/>
      <c r="K475" s="10"/>
    </row>
    <row r="476">
      <c r="J476" s="10"/>
      <c r="K476" s="10"/>
    </row>
    <row r="477">
      <c r="J477" s="10"/>
      <c r="K477" s="10"/>
    </row>
    <row r="478">
      <c r="J478" s="10"/>
      <c r="K478" s="10"/>
    </row>
    <row r="479">
      <c r="J479" s="10"/>
      <c r="K479" s="10"/>
    </row>
    <row r="480">
      <c r="J480" s="10"/>
      <c r="K480" s="10"/>
    </row>
    <row r="481">
      <c r="J481" s="10"/>
      <c r="K481" s="10"/>
    </row>
    <row r="482">
      <c r="J482" s="10"/>
      <c r="K482" s="10"/>
    </row>
    <row r="483">
      <c r="J483" s="10"/>
      <c r="K483" s="10"/>
    </row>
    <row r="484">
      <c r="J484" s="10"/>
      <c r="K484" s="10"/>
    </row>
    <row r="485">
      <c r="J485" s="10"/>
      <c r="K485" s="10"/>
    </row>
    <row r="486">
      <c r="J486" s="10"/>
      <c r="K486" s="10"/>
    </row>
    <row r="487">
      <c r="J487" s="10"/>
      <c r="K487" s="10"/>
    </row>
    <row r="488">
      <c r="J488" s="10"/>
      <c r="K488" s="10"/>
    </row>
    <row r="489">
      <c r="J489" s="10"/>
      <c r="K489" s="10"/>
    </row>
    <row r="490">
      <c r="J490" s="10"/>
      <c r="K490" s="10"/>
    </row>
    <row r="491">
      <c r="J491" s="10"/>
      <c r="K491" s="10"/>
    </row>
    <row r="492">
      <c r="J492" s="10"/>
      <c r="K492" s="10"/>
    </row>
    <row r="493">
      <c r="J493" s="10"/>
      <c r="K493" s="10"/>
    </row>
    <row r="494">
      <c r="J494" s="10"/>
      <c r="K494" s="10"/>
    </row>
    <row r="495">
      <c r="J495" s="10"/>
      <c r="K495" s="10"/>
    </row>
    <row r="496">
      <c r="J496" s="10"/>
      <c r="K496" s="10"/>
    </row>
    <row r="497">
      <c r="J497" s="10"/>
      <c r="K497" s="10"/>
    </row>
    <row r="498">
      <c r="J498" s="10"/>
      <c r="K498" s="10"/>
    </row>
    <row r="499">
      <c r="J499" s="10"/>
      <c r="K499" s="10"/>
    </row>
    <row r="500">
      <c r="J500" s="10"/>
      <c r="K500" s="10"/>
    </row>
    <row r="501">
      <c r="J501" s="10"/>
      <c r="K501" s="10"/>
    </row>
    <row r="502">
      <c r="J502" s="10"/>
      <c r="K502" s="10"/>
    </row>
    <row r="503">
      <c r="J503" s="10"/>
      <c r="K503" s="10"/>
    </row>
    <row r="504">
      <c r="J504" s="10"/>
      <c r="K504" s="10"/>
    </row>
    <row r="505">
      <c r="J505" s="10"/>
      <c r="K505" s="10"/>
    </row>
    <row r="506">
      <c r="J506" s="10"/>
      <c r="K506" s="10"/>
    </row>
    <row r="507">
      <c r="J507" s="10"/>
      <c r="K507" s="10"/>
    </row>
    <row r="508">
      <c r="J508" s="10"/>
      <c r="K508" s="10"/>
    </row>
    <row r="509">
      <c r="J509" s="10"/>
      <c r="K509" s="10"/>
    </row>
    <row r="510">
      <c r="J510" s="10"/>
      <c r="K510" s="10"/>
    </row>
    <row r="511">
      <c r="J511" s="10"/>
      <c r="K511" s="10"/>
    </row>
    <row r="512">
      <c r="J512" s="10"/>
      <c r="K512" s="10"/>
    </row>
    <row r="513">
      <c r="J513" s="10"/>
      <c r="K513" s="10"/>
    </row>
    <row r="514">
      <c r="J514" s="10"/>
      <c r="K514" s="10"/>
    </row>
    <row r="515">
      <c r="J515" s="10"/>
      <c r="K515" s="10"/>
    </row>
    <row r="516">
      <c r="J516" s="10"/>
      <c r="K516" s="10"/>
    </row>
    <row r="517">
      <c r="J517" s="10"/>
      <c r="K517" s="10"/>
    </row>
    <row r="518">
      <c r="J518" s="10"/>
      <c r="K518" s="10"/>
    </row>
    <row r="519">
      <c r="J519" s="10"/>
      <c r="K519" s="10"/>
    </row>
    <row r="520">
      <c r="J520" s="10"/>
      <c r="K520" s="10"/>
    </row>
    <row r="521">
      <c r="J521" s="10"/>
      <c r="K521" s="10"/>
    </row>
    <row r="522">
      <c r="J522" s="10"/>
      <c r="K522" s="10"/>
    </row>
    <row r="523">
      <c r="J523" s="10"/>
      <c r="K523" s="10"/>
    </row>
    <row r="524">
      <c r="J524" s="10"/>
      <c r="K524" s="10"/>
    </row>
    <row r="525">
      <c r="J525" s="10"/>
      <c r="K525" s="10"/>
    </row>
    <row r="526">
      <c r="J526" s="10"/>
      <c r="K526" s="10"/>
    </row>
    <row r="527">
      <c r="J527" s="10"/>
      <c r="K527" s="10"/>
    </row>
    <row r="528">
      <c r="J528" s="10"/>
      <c r="K528" s="10"/>
    </row>
    <row r="529">
      <c r="J529" s="10"/>
      <c r="K529" s="10"/>
    </row>
    <row r="530">
      <c r="J530" s="10"/>
      <c r="K530" s="10"/>
    </row>
    <row r="531">
      <c r="J531" s="10"/>
      <c r="K531" s="10"/>
    </row>
    <row r="532">
      <c r="J532" s="10"/>
      <c r="K532" s="10"/>
    </row>
    <row r="533">
      <c r="J533" s="10"/>
      <c r="K533" s="10"/>
    </row>
    <row r="534">
      <c r="J534" s="10"/>
      <c r="K534" s="10"/>
    </row>
    <row r="535">
      <c r="J535" s="10"/>
      <c r="K535" s="10"/>
    </row>
    <row r="536">
      <c r="J536" s="10"/>
      <c r="K536" s="10"/>
    </row>
    <row r="537">
      <c r="J537" s="10"/>
      <c r="K537" s="10"/>
    </row>
    <row r="538">
      <c r="J538" s="10"/>
      <c r="K538" s="10"/>
    </row>
    <row r="539">
      <c r="J539" s="10"/>
      <c r="K539" s="10"/>
    </row>
    <row r="540">
      <c r="J540" s="10"/>
      <c r="K540" s="10"/>
    </row>
    <row r="541">
      <c r="J541" s="10"/>
      <c r="K541" s="10"/>
    </row>
    <row r="542">
      <c r="J542" s="10"/>
      <c r="K542" s="10"/>
    </row>
    <row r="543">
      <c r="J543" s="10"/>
      <c r="K543" s="10"/>
    </row>
    <row r="544">
      <c r="J544" s="10"/>
      <c r="K544" s="10"/>
    </row>
    <row r="545">
      <c r="J545" s="10"/>
      <c r="K545" s="10"/>
    </row>
    <row r="546">
      <c r="J546" s="10"/>
      <c r="K546" s="10"/>
    </row>
    <row r="547">
      <c r="J547" s="10"/>
      <c r="K547" s="10"/>
    </row>
    <row r="548">
      <c r="J548" s="10"/>
      <c r="K548" s="10"/>
    </row>
    <row r="549">
      <c r="J549" s="10"/>
      <c r="K549" s="10"/>
    </row>
    <row r="550">
      <c r="J550" s="10"/>
      <c r="K550" s="10"/>
    </row>
    <row r="551">
      <c r="J551" s="10"/>
      <c r="K551" s="10"/>
    </row>
    <row r="552">
      <c r="J552" s="10"/>
      <c r="K552" s="10"/>
    </row>
    <row r="553">
      <c r="J553" s="10"/>
      <c r="K553" s="10"/>
    </row>
    <row r="554">
      <c r="J554" s="10"/>
      <c r="K554" s="10"/>
    </row>
    <row r="555">
      <c r="J555" s="10"/>
      <c r="K555" s="10"/>
    </row>
    <row r="556">
      <c r="J556" s="10"/>
      <c r="K556" s="10"/>
    </row>
    <row r="557">
      <c r="J557" s="10"/>
      <c r="K557" s="10"/>
    </row>
    <row r="558">
      <c r="J558" s="10"/>
      <c r="K558" s="10"/>
    </row>
    <row r="559">
      <c r="J559" s="10"/>
      <c r="K559" s="10"/>
    </row>
    <row r="560">
      <c r="J560" s="10"/>
      <c r="K560" s="10"/>
    </row>
    <row r="561">
      <c r="J561" s="10"/>
      <c r="K561" s="10"/>
    </row>
    <row r="562">
      <c r="J562" s="10"/>
      <c r="K562" s="10"/>
    </row>
    <row r="563">
      <c r="J563" s="10"/>
      <c r="K563" s="10"/>
    </row>
    <row r="564">
      <c r="J564" s="10"/>
      <c r="K564" s="10"/>
    </row>
    <row r="565">
      <c r="J565" s="10"/>
      <c r="K565" s="10"/>
    </row>
    <row r="566">
      <c r="J566" s="10"/>
      <c r="K566" s="10"/>
    </row>
    <row r="567">
      <c r="J567" s="10"/>
      <c r="K567" s="10"/>
    </row>
    <row r="568">
      <c r="J568" s="10"/>
      <c r="K568" s="10"/>
    </row>
    <row r="569">
      <c r="J569" s="10"/>
      <c r="K569" s="10"/>
    </row>
    <row r="570">
      <c r="J570" s="10"/>
      <c r="K570" s="10"/>
    </row>
    <row r="571">
      <c r="J571" s="10"/>
      <c r="K571" s="10"/>
    </row>
    <row r="572">
      <c r="J572" s="10"/>
      <c r="K572" s="10"/>
    </row>
    <row r="573">
      <c r="J573" s="10"/>
      <c r="K573" s="10"/>
    </row>
    <row r="574">
      <c r="J574" s="10"/>
      <c r="K574" s="10"/>
    </row>
    <row r="575">
      <c r="J575" s="10"/>
      <c r="K575" s="10"/>
    </row>
    <row r="576">
      <c r="J576" s="10"/>
      <c r="K576" s="10"/>
    </row>
    <row r="577">
      <c r="J577" s="10"/>
      <c r="K577" s="10"/>
    </row>
    <row r="578">
      <c r="J578" s="10"/>
      <c r="K578" s="10"/>
    </row>
    <row r="579">
      <c r="J579" s="10"/>
      <c r="K579" s="10"/>
    </row>
    <row r="580">
      <c r="J580" s="10"/>
      <c r="K580" s="10"/>
    </row>
    <row r="581">
      <c r="J581" s="10"/>
      <c r="K581" s="10"/>
    </row>
    <row r="582">
      <c r="J582" s="10"/>
      <c r="K582" s="10"/>
    </row>
    <row r="583">
      <c r="J583" s="10"/>
      <c r="K583" s="10"/>
    </row>
    <row r="584">
      <c r="J584" s="10"/>
      <c r="K584" s="10"/>
    </row>
    <row r="585">
      <c r="J585" s="10"/>
      <c r="K585" s="10"/>
    </row>
    <row r="586">
      <c r="J586" s="10"/>
      <c r="K586" s="10"/>
    </row>
    <row r="587">
      <c r="J587" s="10"/>
      <c r="K587" s="10"/>
    </row>
    <row r="588">
      <c r="J588" s="10"/>
      <c r="K588" s="10"/>
    </row>
    <row r="589">
      <c r="J589" s="10"/>
      <c r="K589" s="10"/>
    </row>
    <row r="590">
      <c r="J590" s="10"/>
      <c r="K590" s="10"/>
    </row>
    <row r="591">
      <c r="J591" s="10"/>
      <c r="K591" s="10"/>
    </row>
    <row r="592">
      <c r="J592" s="10"/>
      <c r="K592" s="10"/>
    </row>
    <row r="593">
      <c r="J593" s="10"/>
      <c r="K593" s="10"/>
    </row>
    <row r="594">
      <c r="J594" s="10"/>
      <c r="K594" s="10"/>
    </row>
    <row r="595">
      <c r="J595" s="10"/>
      <c r="K595" s="10"/>
    </row>
    <row r="596">
      <c r="J596" s="10"/>
      <c r="K596" s="10"/>
    </row>
    <row r="597">
      <c r="J597" s="10"/>
      <c r="K597" s="10"/>
    </row>
    <row r="598">
      <c r="J598" s="10"/>
      <c r="K598" s="10"/>
    </row>
    <row r="599">
      <c r="J599" s="10"/>
      <c r="K599" s="10"/>
    </row>
    <row r="600">
      <c r="J600" s="10"/>
      <c r="K600" s="10"/>
    </row>
    <row r="601">
      <c r="J601" s="10"/>
      <c r="K601" s="10"/>
    </row>
    <row r="602">
      <c r="J602" s="10"/>
      <c r="K602" s="10"/>
    </row>
    <row r="603">
      <c r="J603" s="10"/>
      <c r="K603" s="10"/>
    </row>
    <row r="604">
      <c r="J604" s="10"/>
      <c r="K604" s="10"/>
    </row>
    <row r="605">
      <c r="J605" s="10"/>
      <c r="K605" s="10"/>
    </row>
    <row r="606">
      <c r="J606" s="10"/>
      <c r="K606" s="10"/>
    </row>
    <row r="607">
      <c r="J607" s="10"/>
      <c r="K607" s="10"/>
    </row>
    <row r="608">
      <c r="J608" s="10"/>
      <c r="K608" s="10"/>
    </row>
    <row r="609">
      <c r="J609" s="10"/>
      <c r="K609" s="10"/>
    </row>
    <row r="610">
      <c r="J610" s="10"/>
      <c r="K610" s="10"/>
    </row>
    <row r="611">
      <c r="J611" s="10"/>
      <c r="K611" s="10"/>
    </row>
    <row r="612">
      <c r="J612" s="10"/>
      <c r="K612" s="10"/>
    </row>
    <row r="613">
      <c r="J613" s="10"/>
      <c r="K613" s="10"/>
    </row>
    <row r="614">
      <c r="J614" s="10"/>
      <c r="K614" s="10"/>
    </row>
    <row r="615">
      <c r="J615" s="10"/>
      <c r="K615" s="10"/>
    </row>
    <row r="616">
      <c r="J616" s="10"/>
      <c r="K616" s="10"/>
    </row>
    <row r="617">
      <c r="J617" s="10"/>
      <c r="K617" s="10"/>
    </row>
    <row r="618">
      <c r="J618" s="10"/>
      <c r="K618" s="10"/>
    </row>
    <row r="619">
      <c r="J619" s="10"/>
      <c r="K619" s="10"/>
    </row>
    <row r="620">
      <c r="J620" s="10"/>
      <c r="K620" s="10"/>
    </row>
    <row r="621">
      <c r="J621" s="10"/>
      <c r="K621" s="10"/>
    </row>
    <row r="622">
      <c r="J622" s="10"/>
      <c r="K622" s="10"/>
    </row>
    <row r="623">
      <c r="J623" s="10"/>
      <c r="K623" s="10"/>
    </row>
    <row r="624">
      <c r="J624" s="10"/>
      <c r="K624" s="10"/>
    </row>
    <row r="625">
      <c r="J625" s="10"/>
      <c r="K625" s="10"/>
    </row>
    <row r="626">
      <c r="J626" s="10"/>
      <c r="K626" s="10"/>
    </row>
    <row r="627">
      <c r="J627" s="10"/>
      <c r="K627" s="10"/>
    </row>
    <row r="628">
      <c r="J628" s="10"/>
      <c r="K628" s="10"/>
    </row>
    <row r="629">
      <c r="J629" s="10"/>
      <c r="K629" s="10"/>
    </row>
    <row r="630">
      <c r="J630" s="10"/>
      <c r="K630" s="10"/>
    </row>
    <row r="631">
      <c r="J631" s="10"/>
      <c r="K631" s="10"/>
    </row>
    <row r="632">
      <c r="J632" s="10"/>
      <c r="K632" s="10"/>
    </row>
    <row r="633">
      <c r="J633" s="10"/>
      <c r="K633" s="10"/>
    </row>
    <row r="634">
      <c r="J634" s="10"/>
      <c r="K634" s="10"/>
    </row>
    <row r="635">
      <c r="J635" s="10"/>
      <c r="K635" s="10"/>
    </row>
    <row r="636">
      <c r="J636" s="10"/>
      <c r="K636" s="10"/>
    </row>
    <row r="637">
      <c r="J637" s="10"/>
      <c r="K637" s="10"/>
    </row>
    <row r="638">
      <c r="J638" s="10"/>
      <c r="K638" s="10"/>
    </row>
    <row r="639">
      <c r="J639" s="10"/>
      <c r="K639" s="10"/>
    </row>
    <row r="640">
      <c r="J640" s="10"/>
      <c r="K640" s="10"/>
    </row>
    <row r="641">
      <c r="J641" s="10"/>
      <c r="K641" s="10"/>
    </row>
    <row r="642">
      <c r="J642" s="10"/>
      <c r="K642" s="10"/>
    </row>
    <row r="643">
      <c r="J643" s="10"/>
      <c r="K643" s="10"/>
    </row>
    <row r="644">
      <c r="J644" s="10"/>
      <c r="K644" s="10"/>
    </row>
    <row r="645">
      <c r="J645" s="10"/>
      <c r="K645" s="10"/>
    </row>
    <row r="646">
      <c r="J646" s="10"/>
      <c r="K646" s="10"/>
    </row>
    <row r="647">
      <c r="J647" s="10"/>
      <c r="K647" s="10"/>
    </row>
    <row r="648">
      <c r="J648" s="10"/>
      <c r="K648" s="10"/>
    </row>
    <row r="649">
      <c r="J649" s="10"/>
      <c r="K649" s="10"/>
    </row>
    <row r="650">
      <c r="J650" s="10"/>
      <c r="K650" s="10"/>
    </row>
    <row r="651">
      <c r="J651" s="10"/>
      <c r="K651" s="10"/>
    </row>
    <row r="652">
      <c r="J652" s="10"/>
      <c r="K652" s="10"/>
    </row>
    <row r="653">
      <c r="J653" s="10"/>
      <c r="K653" s="10"/>
    </row>
    <row r="654">
      <c r="J654" s="10"/>
      <c r="K654" s="10"/>
    </row>
    <row r="655">
      <c r="J655" s="10"/>
      <c r="K655" s="10"/>
    </row>
    <row r="656">
      <c r="J656" s="10"/>
      <c r="K656" s="10"/>
    </row>
    <row r="657">
      <c r="J657" s="10"/>
      <c r="K657" s="10"/>
    </row>
    <row r="658">
      <c r="J658" s="10"/>
      <c r="K658" s="10"/>
    </row>
    <row r="659">
      <c r="J659" s="10"/>
      <c r="K659" s="10"/>
    </row>
    <row r="660">
      <c r="J660" s="10"/>
      <c r="K660" s="10"/>
    </row>
    <row r="661">
      <c r="J661" s="10"/>
      <c r="K661" s="10"/>
    </row>
    <row r="662">
      <c r="J662" s="10"/>
      <c r="K662" s="10"/>
    </row>
    <row r="663">
      <c r="J663" s="10"/>
      <c r="K663" s="10"/>
    </row>
    <row r="664">
      <c r="J664" s="10"/>
      <c r="K664" s="10"/>
    </row>
    <row r="665">
      <c r="J665" s="10"/>
      <c r="K665" s="10"/>
    </row>
    <row r="666">
      <c r="J666" s="10"/>
      <c r="K666" s="10"/>
    </row>
    <row r="667">
      <c r="J667" s="10"/>
      <c r="K667" s="10"/>
    </row>
    <row r="668">
      <c r="J668" s="10"/>
      <c r="K668" s="10"/>
    </row>
    <row r="669">
      <c r="J669" s="10"/>
      <c r="K669" s="10"/>
    </row>
    <row r="670">
      <c r="J670" s="10"/>
      <c r="K670" s="10"/>
    </row>
    <row r="671">
      <c r="J671" s="10"/>
      <c r="K671" s="10"/>
    </row>
    <row r="672">
      <c r="J672" s="10"/>
      <c r="K672" s="10"/>
    </row>
    <row r="673">
      <c r="J673" s="10"/>
      <c r="K673" s="10"/>
    </row>
    <row r="674">
      <c r="J674" s="10"/>
      <c r="K674" s="10"/>
    </row>
    <row r="675">
      <c r="J675" s="10"/>
      <c r="K675" s="10"/>
    </row>
    <row r="676">
      <c r="J676" s="10"/>
      <c r="K676" s="10"/>
    </row>
    <row r="677">
      <c r="J677" s="10"/>
      <c r="K677" s="10"/>
    </row>
    <row r="678">
      <c r="J678" s="10"/>
      <c r="K678" s="10"/>
    </row>
    <row r="679">
      <c r="J679" s="10"/>
      <c r="K679" s="10"/>
    </row>
    <row r="680">
      <c r="J680" s="10"/>
      <c r="K680" s="10"/>
    </row>
    <row r="681">
      <c r="J681" s="10"/>
      <c r="K681" s="10"/>
    </row>
    <row r="682">
      <c r="J682" s="10"/>
      <c r="K682" s="10"/>
    </row>
    <row r="683">
      <c r="J683" s="10"/>
      <c r="K683" s="10"/>
    </row>
    <row r="684">
      <c r="J684" s="10"/>
      <c r="K684" s="10"/>
    </row>
    <row r="685">
      <c r="J685" s="10"/>
      <c r="K685" s="10"/>
    </row>
    <row r="686">
      <c r="J686" s="10"/>
      <c r="K686" s="10"/>
    </row>
    <row r="687">
      <c r="J687" s="10"/>
      <c r="K687" s="10"/>
    </row>
    <row r="688">
      <c r="J688" s="10"/>
      <c r="K688" s="10"/>
    </row>
    <row r="689">
      <c r="J689" s="10"/>
      <c r="K689" s="10"/>
    </row>
    <row r="690">
      <c r="J690" s="10"/>
      <c r="K690" s="10"/>
    </row>
    <row r="691">
      <c r="J691" s="10"/>
      <c r="K691" s="10"/>
    </row>
    <row r="692">
      <c r="J692" s="10"/>
      <c r="K692" s="10"/>
    </row>
    <row r="693">
      <c r="J693" s="10"/>
      <c r="K693" s="10"/>
    </row>
    <row r="694">
      <c r="J694" s="10"/>
      <c r="K694" s="10"/>
    </row>
    <row r="695">
      <c r="J695" s="10"/>
      <c r="K695" s="10"/>
    </row>
    <row r="696">
      <c r="J696" s="10"/>
      <c r="K696" s="10"/>
    </row>
    <row r="697">
      <c r="J697" s="10"/>
      <c r="K697" s="10"/>
    </row>
    <row r="698">
      <c r="J698" s="10"/>
      <c r="K698" s="10"/>
    </row>
    <row r="699">
      <c r="J699" s="10"/>
      <c r="K699" s="10"/>
    </row>
    <row r="700">
      <c r="J700" s="10"/>
      <c r="K700" s="10"/>
    </row>
    <row r="701">
      <c r="J701" s="10"/>
      <c r="K701" s="10"/>
    </row>
    <row r="702">
      <c r="J702" s="10"/>
      <c r="K702" s="10"/>
    </row>
    <row r="703">
      <c r="J703" s="10"/>
      <c r="K703" s="10"/>
    </row>
    <row r="704">
      <c r="J704" s="10"/>
      <c r="K704" s="10"/>
    </row>
    <row r="705">
      <c r="J705" s="10"/>
      <c r="K705" s="10"/>
    </row>
    <row r="706">
      <c r="J706" s="10"/>
      <c r="K706" s="10"/>
    </row>
    <row r="707">
      <c r="J707" s="10"/>
      <c r="K707" s="10"/>
    </row>
    <row r="708">
      <c r="J708" s="10"/>
      <c r="K708" s="10"/>
    </row>
    <row r="709">
      <c r="J709" s="10"/>
      <c r="K709" s="10"/>
    </row>
    <row r="710">
      <c r="J710" s="10"/>
      <c r="K710" s="10"/>
    </row>
    <row r="711">
      <c r="J711" s="10"/>
      <c r="K711" s="10"/>
    </row>
    <row r="712">
      <c r="J712" s="10"/>
      <c r="K712" s="10"/>
    </row>
    <row r="713">
      <c r="J713" s="10"/>
      <c r="K713" s="10"/>
    </row>
    <row r="714">
      <c r="J714" s="10"/>
      <c r="K714" s="10"/>
    </row>
    <row r="715">
      <c r="J715" s="10"/>
      <c r="K715" s="10"/>
    </row>
    <row r="716">
      <c r="J716" s="10"/>
      <c r="K716" s="10"/>
    </row>
    <row r="717">
      <c r="J717" s="10"/>
      <c r="K717" s="10"/>
    </row>
    <row r="718">
      <c r="J718" s="10"/>
      <c r="K718" s="10"/>
    </row>
    <row r="719">
      <c r="J719" s="10"/>
      <c r="K719" s="10"/>
    </row>
    <row r="720">
      <c r="J720" s="10"/>
      <c r="K720" s="10"/>
    </row>
    <row r="721">
      <c r="J721" s="10"/>
      <c r="K721" s="10"/>
    </row>
    <row r="722">
      <c r="J722" s="10"/>
      <c r="K722" s="10"/>
    </row>
    <row r="723">
      <c r="J723" s="10"/>
      <c r="K723" s="10"/>
    </row>
    <row r="724">
      <c r="J724" s="10"/>
      <c r="K724" s="10"/>
    </row>
    <row r="725">
      <c r="J725" s="10"/>
      <c r="K725" s="10"/>
    </row>
    <row r="726">
      <c r="J726" s="10"/>
      <c r="K726" s="10"/>
    </row>
    <row r="727">
      <c r="J727" s="10"/>
      <c r="K727" s="10"/>
    </row>
    <row r="728">
      <c r="J728" s="10"/>
      <c r="K728" s="10"/>
    </row>
    <row r="729">
      <c r="J729" s="10"/>
      <c r="K729" s="10"/>
    </row>
    <row r="730">
      <c r="J730" s="10"/>
      <c r="K730" s="10"/>
    </row>
    <row r="731">
      <c r="J731" s="10"/>
      <c r="K731" s="10"/>
    </row>
    <row r="732">
      <c r="J732" s="10"/>
      <c r="K732" s="10"/>
    </row>
    <row r="733">
      <c r="J733" s="10"/>
      <c r="K733" s="10"/>
    </row>
    <row r="734">
      <c r="J734" s="10"/>
      <c r="K734" s="10"/>
    </row>
    <row r="735">
      <c r="J735" s="10"/>
      <c r="K735" s="10"/>
    </row>
    <row r="736">
      <c r="J736" s="10"/>
      <c r="K736" s="10"/>
    </row>
    <row r="737">
      <c r="J737" s="10"/>
      <c r="K737" s="10"/>
    </row>
    <row r="738">
      <c r="J738" s="10"/>
      <c r="K738" s="10"/>
    </row>
    <row r="739">
      <c r="J739" s="10"/>
      <c r="K739" s="10"/>
    </row>
    <row r="740">
      <c r="J740" s="10"/>
      <c r="K740" s="10"/>
    </row>
    <row r="741">
      <c r="J741" s="10"/>
      <c r="K741" s="10"/>
    </row>
    <row r="742">
      <c r="J742" s="10"/>
      <c r="K742" s="10"/>
    </row>
    <row r="743">
      <c r="J743" s="10"/>
      <c r="K743" s="10"/>
    </row>
    <row r="744">
      <c r="J744" s="10"/>
      <c r="K744" s="10"/>
    </row>
    <row r="745">
      <c r="J745" s="10"/>
      <c r="K745" s="10"/>
    </row>
    <row r="746">
      <c r="J746" s="10"/>
      <c r="K746" s="10"/>
    </row>
    <row r="747">
      <c r="J747" s="10"/>
      <c r="K747" s="10"/>
    </row>
    <row r="748">
      <c r="J748" s="10"/>
      <c r="K748" s="10"/>
    </row>
    <row r="749">
      <c r="J749" s="10"/>
      <c r="K749" s="10"/>
    </row>
    <row r="750">
      <c r="J750" s="10"/>
      <c r="K750" s="10"/>
    </row>
    <row r="751">
      <c r="J751" s="10"/>
      <c r="K751" s="10"/>
    </row>
    <row r="752">
      <c r="J752" s="10"/>
      <c r="K752" s="10"/>
    </row>
    <row r="753">
      <c r="J753" s="10"/>
      <c r="K753" s="10"/>
    </row>
    <row r="754">
      <c r="J754" s="10"/>
      <c r="K754" s="10"/>
    </row>
    <row r="755">
      <c r="J755" s="10"/>
      <c r="K755" s="10"/>
    </row>
    <row r="756">
      <c r="J756" s="10"/>
      <c r="K756" s="10"/>
    </row>
    <row r="757">
      <c r="J757" s="10"/>
      <c r="K757" s="10"/>
    </row>
    <row r="758">
      <c r="J758" s="10"/>
      <c r="K758" s="10"/>
    </row>
    <row r="759">
      <c r="J759" s="10"/>
      <c r="K759" s="10"/>
    </row>
    <row r="760">
      <c r="J760" s="10"/>
      <c r="K760" s="10"/>
    </row>
    <row r="761">
      <c r="J761" s="10"/>
      <c r="K761" s="10"/>
    </row>
    <row r="762">
      <c r="J762" s="10"/>
      <c r="K762" s="10"/>
    </row>
    <row r="763">
      <c r="J763" s="10"/>
      <c r="K763" s="10"/>
    </row>
    <row r="764">
      <c r="J764" s="10"/>
      <c r="K764" s="10"/>
    </row>
    <row r="765">
      <c r="J765" s="10"/>
      <c r="K765" s="10"/>
    </row>
    <row r="766">
      <c r="J766" s="10"/>
      <c r="K766" s="10"/>
    </row>
    <row r="767">
      <c r="J767" s="10"/>
      <c r="K767" s="10"/>
    </row>
    <row r="768">
      <c r="J768" s="10"/>
      <c r="K768" s="10"/>
    </row>
    <row r="769">
      <c r="J769" s="10"/>
      <c r="K769" s="10"/>
    </row>
    <row r="770">
      <c r="J770" s="10"/>
      <c r="K770" s="10"/>
    </row>
    <row r="771">
      <c r="J771" s="10"/>
      <c r="K771" s="10"/>
    </row>
    <row r="772">
      <c r="J772" s="10"/>
      <c r="K772" s="10"/>
    </row>
    <row r="773">
      <c r="J773" s="10"/>
      <c r="K773" s="10"/>
    </row>
    <row r="774">
      <c r="J774" s="10"/>
      <c r="K774" s="10"/>
    </row>
    <row r="775">
      <c r="J775" s="10"/>
      <c r="K775" s="10"/>
    </row>
    <row r="776">
      <c r="J776" s="10"/>
      <c r="K776" s="10"/>
    </row>
    <row r="777">
      <c r="J777" s="10"/>
      <c r="K777" s="10"/>
    </row>
    <row r="778">
      <c r="J778" s="10"/>
      <c r="K778" s="10"/>
    </row>
    <row r="779">
      <c r="J779" s="10"/>
      <c r="K779" s="10"/>
    </row>
    <row r="780">
      <c r="J780" s="10"/>
      <c r="K780" s="10"/>
    </row>
    <row r="781">
      <c r="J781" s="10"/>
      <c r="K781" s="10"/>
    </row>
    <row r="782">
      <c r="J782" s="10"/>
      <c r="K782" s="10"/>
    </row>
    <row r="783">
      <c r="J783" s="10"/>
      <c r="K783" s="10"/>
    </row>
    <row r="784">
      <c r="J784" s="10"/>
      <c r="K784" s="10"/>
    </row>
    <row r="785">
      <c r="J785" s="10"/>
      <c r="K785" s="10"/>
    </row>
    <row r="786">
      <c r="J786" s="10"/>
      <c r="K786" s="10"/>
    </row>
    <row r="787">
      <c r="J787" s="10"/>
      <c r="K787" s="10"/>
    </row>
    <row r="788">
      <c r="J788" s="10"/>
      <c r="K788" s="10"/>
    </row>
    <row r="789">
      <c r="J789" s="10"/>
      <c r="K789" s="10"/>
    </row>
    <row r="790">
      <c r="J790" s="10"/>
      <c r="K790" s="10"/>
    </row>
    <row r="791">
      <c r="J791" s="10"/>
      <c r="K791" s="10"/>
    </row>
    <row r="792">
      <c r="J792" s="10"/>
      <c r="K792" s="10"/>
    </row>
    <row r="793">
      <c r="J793" s="10"/>
      <c r="K793" s="10"/>
    </row>
    <row r="794">
      <c r="J794" s="10"/>
      <c r="K794" s="10"/>
    </row>
    <row r="795">
      <c r="J795" s="10"/>
      <c r="K795" s="10"/>
    </row>
    <row r="796">
      <c r="J796" s="10"/>
      <c r="K796" s="10"/>
    </row>
    <row r="797">
      <c r="J797" s="10"/>
      <c r="K797" s="10"/>
    </row>
    <row r="798">
      <c r="J798" s="10"/>
      <c r="K798" s="10"/>
    </row>
    <row r="799">
      <c r="J799" s="10"/>
      <c r="K799" s="10"/>
    </row>
    <row r="800">
      <c r="J800" s="10"/>
      <c r="K800" s="10"/>
    </row>
    <row r="801">
      <c r="J801" s="10"/>
      <c r="K801" s="10"/>
    </row>
    <row r="802">
      <c r="J802" s="10"/>
      <c r="K802" s="10"/>
    </row>
    <row r="803">
      <c r="J803" s="10"/>
      <c r="K803" s="10"/>
    </row>
    <row r="804">
      <c r="J804" s="10"/>
      <c r="K804" s="10"/>
    </row>
    <row r="805">
      <c r="J805" s="10"/>
      <c r="K805" s="10"/>
    </row>
    <row r="806">
      <c r="J806" s="10"/>
      <c r="K806" s="10"/>
    </row>
    <row r="807">
      <c r="J807" s="10"/>
      <c r="K807" s="10"/>
    </row>
    <row r="808">
      <c r="J808" s="10"/>
      <c r="K808" s="10"/>
    </row>
    <row r="809">
      <c r="J809" s="10"/>
      <c r="K809" s="10"/>
    </row>
    <row r="810">
      <c r="J810" s="10"/>
      <c r="K810" s="10"/>
    </row>
    <row r="811">
      <c r="J811" s="10"/>
      <c r="K811" s="10"/>
    </row>
    <row r="812">
      <c r="J812" s="10"/>
      <c r="K812" s="10"/>
    </row>
    <row r="813">
      <c r="J813" s="10"/>
      <c r="K813" s="10"/>
    </row>
    <row r="814">
      <c r="J814" s="10"/>
      <c r="K814" s="10"/>
    </row>
    <row r="815">
      <c r="J815" s="10"/>
      <c r="K815" s="10"/>
    </row>
    <row r="816">
      <c r="J816" s="10"/>
      <c r="K816" s="10"/>
    </row>
    <row r="817">
      <c r="J817" s="10"/>
      <c r="K817" s="10"/>
    </row>
    <row r="818">
      <c r="J818" s="10"/>
      <c r="K818" s="10"/>
    </row>
    <row r="819">
      <c r="J819" s="10"/>
      <c r="K819" s="10"/>
    </row>
    <row r="820">
      <c r="J820" s="10"/>
      <c r="K820" s="10"/>
    </row>
    <row r="821">
      <c r="J821" s="10"/>
      <c r="K821" s="10"/>
    </row>
    <row r="822">
      <c r="J822" s="10"/>
      <c r="K822" s="10"/>
    </row>
    <row r="823">
      <c r="J823" s="10"/>
      <c r="K823" s="10"/>
    </row>
    <row r="824">
      <c r="J824" s="10"/>
      <c r="K824" s="10"/>
    </row>
    <row r="825">
      <c r="J825" s="10"/>
      <c r="K825" s="10"/>
    </row>
    <row r="826">
      <c r="J826" s="10"/>
      <c r="K826" s="10"/>
    </row>
    <row r="827">
      <c r="J827" s="10"/>
      <c r="K827" s="10"/>
    </row>
    <row r="828">
      <c r="J828" s="10"/>
      <c r="K828" s="10"/>
    </row>
    <row r="829">
      <c r="J829" s="10"/>
      <c r="K829" s="10"/>
    </row>
    <row r="830">
      <c r="J830" s="10"/>
      <c r="K830" s="10"/>
    </row>
    <row r="831">
      <c r="J831" s="10"/>
      <c r="K831" s="10"/>
    </row>
    <row r="832">
      <c r="J832" s="10"/>
      <c r="K832" s="10"/>
    </row>
    <row r="833">
      <c r="J833" s="10"/>
      <c r="K833" s="10"/>
    </row>
    <row r="834">
      <c r="J834" s="10"/>
      <c r="K834" s="10"/>
    </row>
    <row r="835">
      <c r="J835" s="10"/>
      <c r="K835" s="10"/>
    </row>
    <row r="836">
      <c r="J836" s="10"/>
      <c r="K836" s="10"/>
    </row>
    <row r="837">
      <c r="J837" s="10"/>
      <c r="K837" s="10"/>
    </row>
    <row r="838">
      <c r="J838" s="10"/>
      <c r="K838" s="10"/>
    </row>
    <row r="839">
      <c r="J839" s="10"/>
      <c r="K839" s="10"/>
    </row>
    <row r="840">
      <c r="J840" s="10"/>
      <c r="K840" s="10"/>
    </row>
    <row r="841">
      <c r="J841" s="10"/>
      <c r="K841" s="10"/>
    </row>
    <row r="842">
      <c r="J842" s="10"/>
      <c r="K842" s="10"/>
    </row>
    <row r="843">
      <c r="J843" s="10"/>
      <c r="K843" s="10"/>
    </row>
    <row r="844">
      <c r="J844" s="10"/>
      <c r="K844" s="10"/>
    </row>
    <row r="845">
      <c r="J845" s="10"/>
      <c r="K845" s="10"/>
    </row>
    <row r="846">
      <c r="J846" s="10"/>
      <c r="K846" s="10"/>
    </row>
    <row r="847">
      <c r="J847" s="10"/>
      <c r="K847" s="10"/>
    </row>
    <row r="848">
      <c r="J848" s="10"/>
      <c r="K848" s="10"/>
    </row>
    <row r="849">
      <c r="J849" s="10"/>
      <c r="K849" s="10"/>
    </row>
    <row r="850">
      <c r="J850" s="10"/>
      <c r="K850" s="10"/>
    </row>
    <row r="851">
      <c r="J851" s="10"/>
      <c r="K851" s="10"/>
    </row>
    <row r="852">
      <c r="J852" s="10"/>
      <c r="K852" s="10"/>
    </row>
    <row r="853">
      <c r="J853" s="10"/>
      <c r="K853" s="10"/>
    </row>
    <row r="854">
      <c r="J854" s="10"/>
      <c r="K854" s="10"/>
    </row>
    <row r="855">
      <c r="J855" s="10"/>
      <c r="K855" s="10"/>
    </row>
    <row r="856">
      <c r="J856" s="10"/>
      <c r="K856" s="10"/>
    </row>
    <row r="857">
      <c r="J857" s="10"/>
      <c r="K857" s="10"/>
    </row>
    <row r="858">
      <c r="J858" s="10"/>
      <c r="K858" s="10"/>
    </row>
    <row r="859">
      <c r="J859" s="10"/>
      <c r="K859" s="10"/>
    </row>
    <row r="860">
      <c r="J860" s="10"/>
      <c r="K860" s="10"/>
    </row>
    <row r="861">
      <c r="J861" s="10"/>
      <c r="K861" s="10"/>
    </row>
    <row r="862">
      <c r="J862" s="10"/>
      <c r="K862" s="10"/>
    </row>
    <row r="863">
      <c r="J863" s="10"/>
      <c r="K863" s="10"/>
    </row>
    <row r="864">
      <c r="J864" s="10"/>
      <c r="K864" s="10"/>
    </row>
    <row r="865">
      <c r="J865" s="10"/>
      <c r="K865" s="10"/>
    </row>
    <row r="866">
      <c r="J866" s="10"/>
      <c r="K866" s="10"/>
    </row>
    <row r="867">
      <c r="J867" s="10"/>
      <c r="K867" s="10"/>
    </row>
    <row r="868">
      <c r="J868" s="10"/>
      <c r="K868" s="10"/>
    </row>
    <row r="869">
      <c r="J869" s="10"/>
      <c r="K869" s="10"/>
    </row>
    <row r="870">
      <c r="J870" s="10"/>
      <c r="K870" s="10"/>
    </row>
    <row r="871">
      <c r="J871" s="10"/>
      <c r="K871" s="10"/>
    </row>
    <row r="872">
      <c r="J872" s="10"/>
      <c r="K872" s="10"/>
    </row>
    <row r="873">
      <c r="J873" s="10"/>
      <c r="K873" s="10"/>
    </row>
    <row r="874">
      <c r="J874" s="10"/>
      <c r="K874" s="10"/>
    </row>
    <row r="875">
      <c r="J875" s="10"/>
      <c r="K875" s="10"/>
    </row>
    <row r="876">
      <c r="J876" s="10"/>
      <c r="K876" s="10"/>
    </row>
    <row r="877">
      <c r="J877" s="10"/>
      <c r="K877" s="10"/>
    </row>
    <row r="878">
      <c r="J878" s="10"/>
      <c r="K878" s="10"/>
    </row>
    <row r="879">
      <c r="J879" s="10"/>
      <c r="K879" s="10"/>
    </row>
    <row r="880">
      <c r="J880" s="10"/>
      <c r="K880" s="10"/>
    </row>
    <row r="881">
      <c r="J881" s="10"/>
      <c r="K881" s="10"/>
    </row>
    <row r="882">
      <c r="J882" s="10"/>
      <c r="K882" s="10"/>
    </row>
    <row r="883">
      <c r="J883" s="10"/>
      <c r="K883" s="10"/>
    </row>
    <row r="884">
      <c r="J884" s="10"/>
      <c r="K884" s="10"/>
    </row>
    <row r="885">
      <c r="J885" s="10"/>
      <c r="K885" s="10"/>
    </row>
    <row r="886">
      <c r="J886" s="10"/>
      <c r="K886" s="10"/>
    </row>
    <row r="887">
      <c r="J887" s="10"/>
      <c r="K887" s="10"/>
    </row>
    <row r="888">
      <c r="J888" s="10"/>
      <c r="K888" s="10"/>
    </row>
    <row r="889">
      <c r="J889" s="10"/>
      <c r="K889" s="10"/>
    </row>
    <row r="890">
      <c r="J890" s="10"/>
      <c r="K890" s="10"/>
    </row>
    <row r="891">
      <c r="J891" s="10"/>
      <c r="K891" s="10"/>
    </row>
    <row r="892">
      <c r="J892" s="10"/>
      <c r="K892" s="10"/>
    </row>
    <row r="893">
      <c r="J893" s="10"/>
      <c r="K893" s="10"/>
    </row>
    <row r="894">
      <c r="J894" s="10"/>
      <c r="K894" s="10"/>
    </row>
    <row r="895">
      <c r="J895" s="10"/>
      <c r="K895" s="10"/>
    </row>
    <row r="896">
      <c r="J896" s="10"/>
      <c r="K896" s="10"/>
    </row>
    <row r="897">
      <c r="J897" s="10"/>
      <c r="K897" s="10"/>
    </row>
    <row r="898">
      <c r="J898" s="10"/>
      <c r="K898" s="10"/>
    </row>
    <row r="899">
      <c r="J899" s="10"/>
      <c r="K899" s="10"/>
    </row>
    <row r="900">
      <c r="J900" s="10"/>
      <c r="K900" s="10"/>
    </row>
    <row r="901">
      <c r="J901" s="10"/>
      <c r="K901" s="10"/>
    </row>
    <row r="902">
      <c r="J902" s="10"/>
      <c r="K902" s="10"/>
    </row>
    <row r="903">
      <c r="J903" s="10"/>
      <c r="K903" s="10"/>
    </row>
    <row r="904">
      <c r="J904" s="10"/>
      <c r="K904" s="10"/>
    </row>
    <row r="905">
      <c r="J905" s="10"/>
      <c r="K905" s="10"/>
    </row>
    <row r="906">
      <c r="J906" s="10"/>
      <c r="K906" s="10"/>
    </row>
    <row r="907">
      <c r="J907" s="10"/>
      <c r="K907" s="10"/>
    </row>
    <row r="908">
      <c r="J908" s="10"/>
      <c r="K908" s="10"/>
    </row>
    <row r="909">
      <c r="J909" s="10"/>
      <c r="K909" s="10"/>
    </row>
    <row r="910">
      <c r="J910" s="10"/>
      <c r="K910" s="10"/>
    </row>
    <row r="911">
      <c r="J911" s="10"/>
      <c r="K911" s="10"/>
    </row>
    <row r="912">
      <c r="J912" s="10"/>
      <c r="K912" s="10"/>
    </row>
    <row r="913">
      <c r="J913" s="10"/>
      <c r="K913" s="10"/>
    </row>
    <row r="914">
      <c r="J914" s="10"/>
      <c r="K914" s="10"/>
    </row>
    <row r="915">
      <c r="J915" s="10"/>
      <c r="K915" s="10"/>
    </row>
    <row r="916">
      <c r="J916" s="10"/>
      <c r="K916" s="10"/>
    </row>
    <row r="917">
      <c r="J917" s="10"/>
      <c r="K917" s="10"/>
    </row>
    <row r="918">
      <c r="J918" s="10"/>
      <c r="K918" s="10"/>
    </row>
    <row r="919">
      <c r="J919" s="10"/>
      <c r="K919" s="10"/>
    </row>
    <row r="920">
      <c r="J920" s="10"/>
      <c r="K920" s="10"/>
    </row>
    <row r="921">
      <c r="J921" s="10"/>
      <c r="K921" s="10"/>
    </row>
    <row r="922">
      <c r="J922" s="10"/>
      <c r="K922" s="10"/>
    </row>
    <row r="923">
      <c r="J923" s="10"/>
      <c r="K923" s="10"/>
    </row>
    <row r="924">
      <c r="J924" s="10"/>
      <c r="K924" s="10"/>
    </row>
    <row r="925">
      <c r="J925" s="10"/>
      <c r="K925" s="10"/>
    </row>
    <row r="926">
      <c r="J926" s="10"/>
      <c r="K926" s="10"/>
    </row>
    <row r="927">
      <c r="J927" s="10"/>
      <c r="K927" s="10"/>
    </row>
    <row r="928">
      <c r="J928" s="10"/>
      <c r="K928" s="10"/>
    </row>
    <row r="929">
      <c r="J929" s="10"/>
      <c r="K929" s="10"/>
    </row>
    <row r="930">
      <c r="J930" s="10"/>
      <c r="K930" s="10"/>
    </row>
    <row r="931">
      <c r="J931" s="10"/>
      <c r="K931" s="10"/>
    </row>
    <row r="932">
      <c r="J932" s="10"/>
      <c r="K932" s="10"/>
    </row>
    <row r="933">
      <c r="J933" s="10"/>
      <c r="K933" s="10"/>
    </row>
    <row r="934">
      <c r="J934" s="10"/>
      <c r="K934" s="10"/>
    </row>
    <row r="935">
      <c r="J935" s="10"/>
      <c r="K935" s="10"/>
    </row>
    <row r="936">
      <c r="J936" s="10"/>
      <c r="K936" s="10"/>
    </row>
    <row r="937">
      <c r="J937" s="10"/>
      <c r="K937" s="10"/>
    </row>
    <row r="938">
      <c r="J938" s="10"/>
      <c r="K938" s="10"/>
    </row>
    <row r="939">
      <c r="J939" s="10"/>
      <c r="K939" s="10"/>
    </row>
    <row r="940">
      <c r="J940" s="10"/>
      <c r="K940" s="10"/>
    </row>
    <row r="941">
      <c r="J941" s="10"/>
      <c r="K941" s="10"/>
    </row>
    <row r="942">
      <c r="J942" s="10"/>
      <c r="K942" s="10"/>
    </row>
    <row r="943">
      <c r="J943" s="10"/>
      <c r="K943" s="10"/>
    </row>
    <row r="944">
      <c r="J944" s="10"/>
      <c r="K944" s="10"/>
    </row>
    <row r="945">
      <c r="J945" s="10"/>
      <c r="K945" s="10"/>
    </row>
    <row r="946">
      <c r="J946" s="10"/>
      <c r="K946" s="10"/>
    </row>
    <row r="947">
      <c r="J947" s="10"/>
      <c r="K947" s="10"/>
    </row>
    <row r="948">
      <c r="J948" s="10"/>
      <c r="K948" s="10"/>
    </row>
    <row r="949">
      <c r="J949" s="10"/>
      <c r="K949" s="10"/>
    </row>
    <row r="950">
      <c r="J950" s="10"/>
      <c r="K950" s="10"/>
    </row>
    <row r="951">
      <c r="J951" s="10"/>
      <c r="K951" s="10"/>
    </row>
    <row r="952">
      <c r="J952" s="10"/>
      <c r="K952" s="10"/>
    </row>
    <row r="953">
      <c r="J953" s="10"/>
      <c r="K953" s="10"/>
    </row>
    <row r="954">
      <c r="J954" s="10"/>
      <c r="K954" s="10"/>
    </row>
    <row r="955">
      <c r="J955" s="10"/>
      <c r="K955" s="10"/>
    </row>
    <row r="956">
      <c r="J956" s="10"/>
      <c r="K956" s="10"/>
    </row>
    <row r="957">
      <c r="J957" s="10"/>
      <c r="K957" s="10"/>
    </row>
    <row r="958">
      <c r="J958" s="10"/>
      <c r="K958" s="10"/>
    </row>
    <row r="959">
      <c r="J959" s="10"/>
      <c r="K959" s="10"/>
    </row>
    <row r="960">
      <c r="J960" s="10"/>
      <c r="K960" s="10"/>
    </row>
    <row r="961">
      <c r="J961" s="10"/>
      <c r="K961" s="10"/>
    </row>
    <row r="962">
      <c r="J962" s="10"/>
      <c r="K962" s="10"/>
    </row>
    <row r="963">
      <c r="J963" s="10"/>
      <c r="K963" s="10"/>
    </row>
    <row r="964">
      <c r="J964" s="10"/>
      <c r="K964" s="10"/>
    </row>
    <row r="965">
      <c r="J965" s="10"/>
      <c r="K965" s="10"/>
    </row>
    <row r="966">
      <c r="J966" s="10"/>
      <c r="K966" s="10"/>
    </row>
    <row r="967">
      <c r="J967" s="10"/>
      <c r="K967" s="10"/>
    </row>
    <row r="968">
      <c r="J968" s="10"/>
      <c r="K968" s="10"/>
    </row>
    <row r="969">
      <c r="J969" s="10"/>
      <c r="K969" s="10"/>
    </row>
    <row r="970">
      <c r="J970" s="10"/>
      <c r="K970" s="10"/>
    </row>
    <row r="971">
      <c r="J971" s="10"/>
      <c r="K971" s="10"/>
    </row>
    <row r="972">
      <c r="J972" s="10"/>
      <c r="K972" s="10"/>
    </row>
    <row r="973">
      <c r="J973" s="10"/>
      <c r="K973" s="10"/>
    </row>
    <row r="974">
      <c r="J974" s="10"/>
      <c r="K974" s="10"/>
    </row>
    <row r="975">
      <c r="J975" s="10"/>
      <c r="K975" s="10"/>
    </row>
    <row r="976">
      <c r="J976" s="10"/>
      <c r="K976" s="10"/>
    </row>
    <row r="977">
      <c r="J977" s="10"/>
      <c r="K977" s="10"/>
    </row>
    <row r="978">
      <c r="J978" s="10"/>
      <c r="K978" s="10"/>
    </row>
    <row r="979">
      <c r="J979" s="10"/>
      <c r="K979" s="10"/>
    </row>
    <row r="980">
      <c r="J980" s="10"/>
      <c r="K980" s="10"/>
    </row>
    <row r="981">
      <c r="J981" s="10"/>
      <c r="K981" s="10"/>
    </row>
    <row r="982">
      <c r="J982" s="10"/>
      <c r="K982" s="10"/>
    </row>
    <row r="983">
      <c r="J983" s="10"/>
      <c r="K983" s="10"/>
    </row>
    <row r="984">
      <c r="J984" s="10"/>
      <c r="K984" s="10"/>
    </row>
    <row r="985">
      <c r="J985" s="10"/>
      <c r="K985" s="10"/>
    </row>
    <row r="986">
      <c r="J986" s="10"/>
      <c r="K986" s="10"/>
    </row>
    <row r="987">
      <c r="J987" s="10"/>
      <c r="K987" s="10"/>
    </row>
    <row r="988">
      <c r="J988" s="10"/>
      <c r="K988" s="10"/>
    </row>
    <row r="989">
      <c r="J989" s="10"/>
      <c r="K989" s="10"/>
    </row>
    <row r="990">
      <c r="J990" s="10"/>
      <c r="K990" s="10"/>
    </row>
    <row r="991">
      <c r="J991" s="10"/>
      <c r="K991" s="10"/>
    </row>
  </sheetData>
  <autoFilter ref="$A$1:$W$56">
    <filterColumn colId="3">
      <filters>
        <filter val="ge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63"/>
    <col customWidth="1" min="2" max="2" width="29.0"/>
    <col customWidth="1" min="3" max="3" width="24.88"/>
    <col customWidth="1" min="4" max="4" width="20.0"/>
    <col customWidth="1" min="5" max="5" width="24.63"/>
    <col customWidth="1" min="6" max="6" width="25.25"/>
    <col customWidth="1" min="7" max="7" width="20.63"/>
    <col customWidth="1" min="8" max="8" width="22.25"/>
    <col customWidth="1" min="9" max="9" width="26.38"/>
    <col customWidth="1" min="10" max="10" width="27.13"/>
    <col customWidth="1" min="11" max="11" width="31.25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0"/>
    <col customWidth="1" min="2" max="2" width="33.0"/>
    <col customWidth="1" min="3" max="3" width="19.63"/>
    <col customWidth="1" min="4" max="4" width="18.0"/>
    <col customWidth="1" min="5" max="5" width="26.13"/>
    <col customWidth="1" min="6" max="6" width="22.25"/>
    <col customWidth="1" min="7" max="7" width="27.13"/>
    <col customWidth="1" min="8" max="8" width="24.63"/>
    <col customWidth="1" min="9" max="9" width="24.88"/>
    <col customWidth="1" min="10" max="10" width="31.25"/>
    <col customWidth="1" min="11" max="12" width="26.38"/>
    <col customWidth="1" min="13" max="13" width="24.0"/>
    <col customWidth="1" min="14" max="14" width="2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K17" s="12">
        <f t="shared" ref="K17:L17" si="1">STDEV(K2,K4:K6,K7,K9:K11,K13:K15)</f>
        <v>2.902798279</v>
      </c>
      <c r="L17" s="12">
        <f t="shared" si="1"/>
        <v>1.118569864</v>
      </c>
    </row>
    <row r="20">
      <c r="A20" s="4" t="s">
        <v>50</v>
      </c>
    </row>
    <row r="21">
      <c r="A21" s="4" t="s">
        <v>51</v>
      </c>
    </row>
    <row r="22">
      <c r="A22" s="4" t="s">
        <v>52</v>
      </c>
    </row>
    <row r="23">
      <c r="A23" s="4" t="s">
        <v>53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9.88"/>
    <col customWidth="1" min="2" max="2" width="19.63"/>
    <col customWidth="1" min="3" max="3" width="20.63"/>
    <col customWidth="1" min="4" max="4" width="18.25"/>
    <col customWidth="1" min="5" max="5" width="22.88"/>
    <col customWidth="1" min="6" max="6" width="22.25"/>
    <col customWidth="1" min="7" max="7" width="27.13"/>
    <col customWidth="1" min="8" max="8" width="26.38"/>
    <col customWidth="1" min="9" max="9" width="31.25"/>
    <col customWidth="1" min="10" max="10" width="20.0"/>
    <col customWidth="1" min="11" max="11" width="24.88"/>
  </cols>
  <sheetData>
    <row r="1"/>
    <row r="2"/>
    <row r="3"/>
    <row r="4"/>
    <row r="5"/>
    <row r="6"/>
    <row r="7"/>
    <row r="8"/>
    <row r="9"/>
    <row r="10"/>
    <row r="22">
      <c r="D22" s="12">
        <f>(B6*E6+B5*E5+B4*E4+B3*E3+B2*E2+B10*E10)/SUM(B2:B6,B10)</f>
        <v>3.698689555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10.75"/>
    <col customWidth="1" min="4" max="4" width="6.88"/>
    <col customWidth="1" min="5" max="5" width="21.88"/>
    <col customWidth="1" min="6" max="6" width="14.13"/>
    <col customWidth="1" min="7" max="8" width="14.88"/>
    <col customWidth="1" min="9" max="9" width="10.25"/>
    <col customWidth="1" min="10" max="10" width="11.63"/>
    <col customWidth="1" min="11" max="11" width="15.13"/>
    <col customWidth="1" min="12" max="12" width="18.38"/>
    <col customWidth="1" min="13" max="13" width="13.75"/>
    <col customWidth="1" min="14" max="14" width="12.25"/>
    <col customWidth="1" min="15" max="15" width="21.88"/>
    <col customWidth="1" min="16" max="16" width="8.75"/>
    <col customWidth="1" min="17" max="17" width="8.88"/>
    <col customWidth="1" min="18" max="18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11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5</v>
      </c>
      <c r="P1" s="1" t="s">
        <v>18</v>
      </c>
      <c r="Q1" s="1" t="s">
        <v>19</v>
      </c>
      <c r="R1" s="1" t="s">
        <v>20</v>
      </c>
      <c r="S1" s="4" t="s">
        <v>22</v>
      </c>
    </row>
    <row r="2">
      <c r="A2" s="5">
        <v>94.0</v>
      </c>
      <c r="B2" s="6" t="s">
        <v>23</v>
      </c>
      <c r="C2" s="6" t="s">
        <v>24</v>
      </c>
      <c r="D2" s="6" t="s">
        <v>23</v>
      </c>
      <c r="E2" s="7" t="s">
        <v>25</v>
      </c>
      <c r="F2" s="8">
        <v>0.00344983097440377</v>
      </c>
      <c r="G2" s="8">
        <v>0.00115017844436747</v>
      </c>
      <c r="H2" s="11">
        <v>25.510665546764</v>
      </c>
      <c r="I2" s="6">
        <v>11.0</v>
      </c>
      <c r="J2" s="11">
        <v>280.617321014404</v>
      </c>
      <c r="K2" s="11">
        <v>1204.03717303276</v>
      </c>
      <c r="L2" s="11">
        <v>75.2523233145475</v>
      </c>
      <c r="M2" s="6">
        <v>16.0</v>
      </c>
      <c r="N2" s="6">
        <v>4.0</v>
      </c>
      <c r="O2" s="6" t="s">
        <v>25</v>
      </c>
      <c r="P2" s="6">
        <v>10.0</v>
      </c>
      <c r="Q2" s="6">
        <v>80.0</v>
      </c>
      <c r="R2" s="6">
        <v>4.0</v>
      </c>
      <c r="S2" s="12" t="str">
        <f t="shared" ref="S2:S65" si="1">B2&amp;C2&amp;D2&amp;E2</f>
        <v>geoverallgeVisual_Network</v>
      </c>
    </row>
    <row r="3" hidden="1">
      <c r="A3" s="13">
        <v>94.0</v>
      </c>
      <c r="B3" s="14" t="s">
        <v>23</v>
      </c>
      <c r="C3" s="14" t="s">
        <v>25</v>
      </c>
      <c r="D3" s="14" t="s">
        <v>23</v>
      </c>
      <c r="E3" s="15" t="s">
        <v>27</v>
      </c>
      <c r="F3" s="22">
        <v>0.174249757986757</v>
      </c>
      <c r="G3" s="22">
        <v>0.0871248789942984</v>
      </c>
      <c r="H3" s="18">
        <v>27.0528938770294</v>
      </c>
      <c r="I3" s="14">
        <v>6.0</v>
      </c>
      <c r="J3" s="18">
        <v>162.317363262177</v>
      </c>
      <c r="K3" s="18">
        <v>298.343588113785</v>
      </c>
      <c r="L3" s="18">
        <v>59.668717622757</v>
      </c>
      <c r="M3" s="14">
        <v>5.0</v>
      </c>
      <c r="N3" s="14">
        <v>4.0</v>
      </c>
      <c r="O3" s="14" t="s">
        <v>25</v>
      </c>
      <c r="P3" s="14">
        <v>10.0</v>
      </c>
      <c r="Q3" s="14">
        <v>80.0</v>
      </c>
      <c r="R3" s="14">
        <v>4.0</v>
      </c>
      <c r="S3" s="12" t="str">
        <f t="shared" si="1"/>
        <v>geVisual_NetworkgeMultiple_Demand_Extended_Network</v>
      </c>
    </row>
    <row r="4" hidden="1">
      <c r="A4" s="13">
        <v>94.0</v>
      </c>
      <c r="B4" s="14" t="s">
        <v>23</v>
      </c>
      <c r="C4" s="14" t="s">
        <v>24</v>
      </c>
      <c r="D4" s="14" t="s">
        <v>26</v>
      </c>
      <c r="E4" s="15" t="s">
        <v>24</v>
      </c>
      <c r="F4" s="16"/>
      <c r="G4" s="16"/>
      <c r="H4" s="18">
        <v>20.2942845026652</v>
      </c>
      <c r="I4" s="14">
        <v>6.0</v>
      </c>
      <c r="J4" s="18">
        <v>121.765707015991</v>
      </c>
      <c r="K4" s="19"/>
      <c r="L4" s="19"/>
      <c r="M4" s="20"/>
      <c r="N4" s="21"/>
      <c r="O4" s="14" t="s">
        <v>25</v>
      </c>
      <c r="P4" s="14">
        <v>10.0</v>
      </c>
      <c r="Q4" s="14">
        <v>80.0</v>
      </c>
      <c r="R4" s="14">
        <v>4.0</v>
      </c>
      <c r="S4" s="12" t="str">
        <f t="shared" si="1"/>
        <v>geoverallmodularityoverall</v>
      </c>
    </row>
    <row r="5">
      <c r="A5" s="13">
        <v>95.0</v>
      </c>
      <c r="B5" s="14" t="s">
        <v>23</v>
      </c>
      <c r="C5" s="14" t="s">
        <v>24</v>
      </c>
      <c r="D5" s="14" t="s">
        <v>23</v>
      </c>
      <c r="E5" s="15" t="s">
        <v>25</v>
      </c>
      <c r="F5" s="22">
        <v>2.14607077582284E-10</v>
      </c>
      <c r="G5" s="22">
        <v>2.04128426480271E-10</v>
      </c>
      <c r="H5" s="18">
        <v>21.1596811771393</v>
      </c>
      <c r="I5" s="14">
        <v>5.0</v>
      </c>
      <c r="J5" s="18">
        <v>105.798405885696</v>
      </c>
      <c r="K5" s="18">
        <v>471.654345035553</v>
      </c>
      <c r="L5" s="18">
        <v>67.3791921479361</v>
      </c>
      <c r="M5" s="14">
        <v>7.0</v>
      </c>
      <c r="N5" s="14">
        <v>4.0</v>
      </c>
      <c r="O5" s="21"/>
      <c r="P5" s="14">
        <v>10.0</v>
      </c>
      <c r="Q5" s="14">
        <v>80.0</v>
      </c>
      <c r="R5" s="14">
        <v>4.0</v>
      </c>
      <c r="S5" s="12" t="str">
        <f t="shared" si="1"/>
        <v>geoverallgeVisual_Network</v>
      </c>
    </row>
    <row r="6" hidden="1">
      <c r="A6" s="13">
        <v>95.0</v>
      </c>
      <c r="B6" s="14" t="s">
        <v>23</v>
      </c>
      <c r="C6" s="14" t="s">
        <v>24</v>
      </c>
      <c r="D6" s="14" t="s">
        <v>26</v>
      </c>
      <c r="E6" s="15" t="s">
        <v>24</v>
      </c>
      <c r="F6" s="16"/>
      <c r="G6" s="16"/>
      <c r="H6" s="18">
        <v>22.2235830965496</v>
      </c>
      <c r="I6" s="14">
        <v>21.0</v>
      </c>
      <c r="J6" s="18">
        <v>466.695245027542</v>
      </c>
      <c r="K6" s="19"/>
      <c r="L6" s="19"/>
      <c r="M6" s="20"/>
      <c r="N6" s="20"/>
      <c r="O6" s="21"/>
      <c r="P6" s="14">
        <v>10.0</v>
      </c>
      <c r="Q6" s="14">
        <v>80.0</v>
      </c>
      <c r="R6" s="14">
        <v>4.0</v>
      </c>
      <c r="S6" s="12" t="str">
        <f t="shared" si="1"/>
        <v>geoverallmodularityoverall</v>
      </c>
    </row>
    <row r="7">
      <c r="A7" s="13">
        <v>95.0</v>
      </c>
      <c r="B7" s="14" t="s">
        <v>23</v>
      </c>
      <c r="C7" s="14" t="s">
        <v>24</v>
      </c>
      <c r="D7" s="14" t="s">
        <v>23</v>
      </c>
      <c r="E7" s="15" t="s">
        <v>27</v>
      </c>
      <c r="F7" s="22">
        <v>0.0231078073465341</v>
      </c>
      <c r="G7" s="22">
        <v>0.00770260258775814</v>
      </c>
      <c r="H7" s="18">
        <v>22.0552423511233</v>
      </c>
      <c r="I7" s="14">
        <v>14.0</v>
      </c>
      <c r="J7" s="18">
        <v>308.773392915726</v>
      </c>
      <c r="K7" s="18">
        <v>316.2737159729</v>
      </c>
      <c r="L7" s="18">
        <v>79.0684289932251</v>
      </c>
      <c r="M7" s="14">
        <v>4.0</v>
      </c>
      <c r="N7" s="14">
        <v>4.0</v>
      </c>
      <c r="O7" s="21"/>
      <c r="P7" s="14">
        <v>10.0</v>
      </c>
      <c r="Q7" s="14">
        <v>80.0</v>
      </c>
      <c r="R7" s="14">
        <v>4.0</v>
      </c>
      <c r="S7" s="12" t="str">
        <f t="shared" si="1"/>
        <v>geoverallgeMultiple_Demand_Extended_Network</v>
      </c>
    </row>
    <row r="8">
      <c r="A8" s="13">
        <v>96.0</v>
      </c>
      <c r="B8" s="14" t="s">
        <v>23</v>
      </c>
      <c r="C8" s="14" t="s">
        <v>24</v>
      </c>
      <c r="D8" s="14" t="s">
        <v>23</v>
      </c>
      <c r="E8" s="15" t="s">
        <v>25</v>
      </c>
      <c r="F8" s="22">
        <v>0.0213990498610457</v>
      </c>
      <c r="G8" s="22">
        <v>0.0213990498610457</v>
      </c>
      <c r="H8" s="18">
        <v>22.4869877696037</v>
      </c>
      <c r="I8" s="14">
        <v>4.0</v>
      </c>
      <c r="J8" s="18">
        <v>89.9479510784149</v>
      </c>
      <c r="K8" s="18">
        <v>79.4513938426971</v>
      </c>
      <c r="L8" s="18">
        <v>79.4513938426971</v>
      </c>
      <c r="M8" s="14">
        <v>1.0</v>
      </c>
      <c r="N8" s="14">
        <v>4.0</v>
      </c>
      <c r="O8" s="14" t="s">
        <v>25</v>
      </c>
      <c r="P8" s="14">
        <v>10.0</v>
      </c>
      <c r="Q8" s="14">
        <v>80.0</v>
      </c>
      <c r="R8" s="14">
        <v>4.0</v>
      </c>
      <c r="S8" s="12" t="str">
        <f t="shared" si="1"/>
        <v>geoverallgeVisual_Network</v>
      </c>
    </row>
    <row r="9" hidden="1">
      <c r="A9" s="13">
        <v>96.0</v>
      </c>
      <c r="B9" s="14" t="s">
        <v>23</v>
      </c>
      <c r="C9" s="14" t="s">
        <v>25</v>
      </c>
      <c r="D9" s="14" t="s">
        <v>23</v>
      </c>
      <c r="E9" s="15" t="s">
        <v>27</v>
      </c>
      <c r="F9" s="22">
        <v>1.75231997544817E-12</v>
      </c>
      <c r="G9" s="22">
        <v>1.75231997544817E-12</v>
      </c>
      <c r="H9" s="18">
        <v>35.5401272340254</v>
      </c>
      <c r="I9" s="14">
        <v>22.0</v>
      </c>
      <c r="J9" s="18">
        <v>781.88279914856</v>
      </c>
      <c r="K9" s="18">
        <v>34.942761182785</v>
      </c>
      <c r="L9" s="18">
        <v>34.942761182785</v>
      </c>
      <c r="M9" s="14">
        <v>1.0</v>
      </c>
      <c r="N9" s="14">
        <v>4.0</v>
      </c>
      <c r="O9" s="14" t="s">
        <v>25</v>
      </c>
      <c r="P9" s="14">
        <v>10.0</v>
      </c>
      <c r="Q9" s="14">
        <v>80.0</v>
      </c>
      <c r="R9" s="14">
        <v>4.0</v>
      </c>
      <c r="S9" s="12" t="str">
        <f t="shared" si="1"/>
        <v>geVisual_NetworkgeMultiple_Demand_Extended_Network</v>
      </c>
    </row>
    <row r="10" hidden="1">
      <c r="A10" s="13">
        <v>96.0</v>
      </c>
      <c r="B10" s="14" t="s">
        <v>23</v>
      </c>
      <c r="C10" s="14" t="s">
        <v>24</v>
      </c>
      <c r="D10" s="14" t="s">
        <v>26</v>
      </c>
      <c r="E10" s="15" t="s">
        <v>24</v>
      </c>
      <c r="F10" s="16"/>
      <c r="G10" s="16"/>
      <c r="H10" s="18">
        <v>35.1459931327451</v>
      </c>
      <c r="I10" s="14">
        <v>30.0</v>
      </c>
      <c r="J10" s="18">
        <v>1089.5257871151</v>
      </c>
      <c r="K10" s="19"/>
      <c r="L10" s="19"/>
      <c r="M10" s="21"/>
      <c r="N10" s="21"/>
      <c r="O10" s="14" t="s">
        <v>25</v>
      </c>
      <c r="P10" s="14">
        <v>10.0</v>
      </c>
      <c r="Q10" s="14">
        <v>80.0</v>
      </c>
      <c r="R10" s="14">
        <v>4.0</v>
      </c>
      <c r="S10" s="12" t="str">
        <f t="shared" si="1"/>
        <v>geoverallmodularityoverall</v>
      </c>
    </row>
    <row r="11">
      <c r="A11" s="13">
        <v>98.0</v>
      </c>
      <c r="B11" s="14" t="s">
        <v>23</v>
      </c>
      <c r="C11" s="14" t="s">
        <v>24</v>
      </c>
      <c r="D11" s="14" t="s">
        <v>23</v>
      </c>
      <c r="E11" s="15" t="s">
        <v>25</v>
      </c>
      <c r="F11" s="22">
        <v>0.0177216085738507</v>
      </c>
      <c r="G11" s="22">
        <v>0.00590720295539106</v>
      </c>
      <c r="H11" s="18">
        <v>15.2121393680572</v>
      </c>
      <c r="I11" s="14">
        <v>2.0</v>
      </c>
      <c r="J11" s="18">
        <v>30.4242787361145</v>
      </c>
      <c r="K11" s="18">
        <v>138.436563014984</v>
      </c>
      <c r="L11" s="18">
        <v>69.2182815074921</v>
      </c>
      <c r="M11" s="14">
        <v>2.0</v>
      </c>
      <c r="N11" s="14">
        <v>4.0</v>
      </c>
      <c r="O11" s="14" t="s">
        <v>25</v>
      </c>
      <c r="P11" s="14">
        <v>10.0</v>
      </c>
      <c r="Q11" s="14">
        <v>80.0</v>
      </c>
      <c r="R11" s="14">
        <v>4.0</v>
      </c>
      <c r="S11" s="12" t="str">
        <f t="shared" si="1"/>
        <v>geoverallgeVisual_Network</v>
      </c>
    </row>
    <row r="12" hidden="1">
      <c r="A12" s="13">
        <v>98.0</v>
      </c>
      <c r="B12" s="14" t="s">
        <v>23</v>
      </c>
      <c r="C12" s="14" t="s">
        <v>25</v>
      </c>
      <c r="D12" s="14" t="s">
        <v>23</v>
      </c>
      <c r="E12" s="15" t="s">
        <v>27</v>
      </c>
      <c r="F12" s="22">
        <v>2.75507391040804E-12</v>
      </c>
      <c r="G12" s="22">
        <v>2.75507391040804E-12</v>
      </c>
      <c r="H12" s="18">
        <v>17.2805244127909</v>
      </c>
      <c r="I12" s="14">
        <v>3.0</v>
      </c>
      <c r="J12" s="18">
        <v>51.8415732383728</v>
      </c>
      <c r="K12" s="18">
        <v>29.3321099281311</v>
      </c>
      <c r="L12" s="18">
        <v>29.3321099281311</v>
      </c>
      <c r="M12" s="14">
        <v>1.0</v>
      </c>
      <c r="N12" s="14">
        <v>4.0</v>
      </c>
      <c r="O12" s="14" t="s">
        <v>25</v>
      </c>
      <c r="P12" s="14">
        <v>10.0</v>
      </c>
      <c r="Q12" s="14">
        <v>80.0</v>
      </c>
      <c r="R12" s="14">
        <v>4.0</v>
      </c>
      <c r="S12" s="12" t="str">
        <f t="shared" si="1"/>
        <v>geVisual_NetworkgeMultiple_Demand_Extended_Network</v>
      </c>
    </row>
    <row r="13">
      <c r="A13" s="13">
        <v>99.0</v>
      </c>
      <c r="B13" s="14" t="s">
        <v>23</v>
      </c>
      <c r="C13" s="14" t="s">
        <v>24</v>
      </c>
      <c r="D13" s="14" t="s">
        <v>23</v>
      </c>
      <c r="E13" s="15" t="s">
        <v>25</v>
      </c>
      <c r="F13" s="22">
        <v>1.20795149012364E-10</v>
      </c>
      <c r="G13" s="22">
        <v>1.18243627662033E-10</v>
      </c>
      <c r="H13" s="18">
        <v>26.4586252825601</v>
      </c>
      <c r="I13" s="14">
        <v>7.0</v>
      </c>
      <c r="J13" s="18">
        <v>185.210376977921</v>
      </c>
      <c r="K13" s="18">
        <v>246.864217042923</v>
      </c>
      <c r="L13" s="18">
        <v>82.288072347641</v>
      </c>
      <c r="M13" s="14">
        <v>3.0</v>
      </c>
      <c r="N13" s="14">
        <v>4.0</v>
      </c>
      <c r="O13" s="21"/>
      <c r="P13" s="14">
        <v>10.0</v>
      </c>
      <c r="Q13" s="14">
        <v>80.0</v>
      </c>
      <c r="R13" s="14">
        <v>4.0</v>
      </c>
      <c r="S13" s="12" t="str">
        <f t="shared" si="1"/>
        <v>geoverallgeVisual_Network</v>
      </c>
    </row>
    <row r="14" hidden="1">
      <c r="A14" s="13">
        <v>99.0</v>
      </c>
      <c r="B14" s="14" t="s">
        <v>23</v>
      </c>
      <c r="C14" s="14" t="s">
        <v>24</v>
      </c>
      <c r="D14" s="14" t="s">
        <v>26</v>
      </c>
      <c r="E14" s="15" t="s">
        <v>24</v>
      </c>
      <c r="F14" s="16"/>
      <c r="G14" s="16"/>
      <c r="H14" s="18">
        <v>24.7439845005671</v>
      </c>
      <c r="I14" s="14">
        <v>6.0</v>
      </c>
      <c r="J14" s="18">
        <v>148.463907003403</v>
      </c>
      <c r="K14" s="19"/>
      <c r="L14" s="19"/>
      <c r="M14" s="21"/>
      <c r="N14" s="21"/>
      <c r="O14" s="21"/>
      <c r="P14" s="14">
        <v>10.0</v>
      </c>
      <c r="Q14" s="14">
        <v>80.0</v>
      </c>
      <c r="R14" s="14">
        <v>4.0</v>
      </c>
      <c r="S14" s="12" t="str">
        <f t="shared" si="1"/>
        <v>geoverallmodularityoverall</v>
      </c>
    </row>
    <row r="15">
      <c r="A15" s="13">
        <v>99.0</v>
      </c>
      <c r="B15" s="14" t="s">
        <v>23</v>
      </c>
      <c r="C15" s="14" t="s">
        <v>24</v>
      </c>
      <c r="D15" s="14" t="s">
        <v>23</v>
      </c>
      <c r="E15" s="15" t="s">
        <v>27</v>
      </c>
      <c r="F15" s="22">
        <v>0.11090014766819</v>
      </c>
      <c r="G15" s="22">
        <v>0.0369667159671692</v>
      </c>
      <c r="H15" s="18">
        <v>29.3895074129105</v>
      </c>
      <c r="I15" s="14">
        <v>10.0</v>
      </c>
      <c r="J15" s="18">
        <v>293.895074129105</v>
      </c>
      <c r="K15" s="18">
        <v>553.139830112457</v>
      </c>
      <c r="L15" s="18">
        <v>92.1899716854095</v>
      </c>
      <c r="M15" s="14">
        <v>6.0</v>
      </c>
      <c r="N15" s="14">
        <v>4.0</v>
      </c>
      <c r="O15" s="21"/>
      <c r="P15" s="14">
        <v>10.0</v>
      </c>
      <c r="Q15" s="14">
        <v>80.0</v>
      </c>
      <c r="R15" s="14">
        <v>4.0</v>
      </c>
      <c r="S15" s="12" t="str">
        <f t="shared" si="1"/>
        <v>geoverallgeMultiple_Demand_Extended_Network</v>
      </c>
    </row>
    <row r="16">
      <c r="A16" s="13">
        <v>100.0</v>
      </c>
      <c r="B16" s="14" t="s">
        <v>23</v>
      </c>
      <c r="C16" s="14" t="s">
        <v>24</v>
      </c>
      <c r="D16" s="14" t="s">
        <v>23</v>
      </c>
      <c r="E16" s="15" t="s">
        <v>25</v>
      </c>
      <c r="F16" s="22">
        <v>2.15043349129198E-10</v>
      </c>
      <c r="G16" s="22">
        <v>2.15043349129198E-10</v>
      </c>
      <c r="H16" s="18">
        <v>23.4889587879181</v>
      </c>
      <c r="I16" s="14">
        <v>5.0</v>
      </c>
      <c r="J16" s="18">
        <v>117.44479393959</v>
      </c>
      <c r="K16" s="18">
        <v>83.5185189247131</v>
      </c>
      <c r="L16" s="18">
        <v>83.5185189247131</v>
      </c>
      <c r="M16" s="14">
        <v>1.0</v>
      </c>
      <c r="N16" s="14">
        <v>4.0</v>
      </c>
      <c r="O16" s="14" t="s">
        <v>25</v>
      </c>
      <c r="P16" s="14">
        <v>10.0</v>
      </c>
      <c r="Q16" s="14">
        <v>80.0</v>
      </c>
      <c r="R16" s="14">
        <v>4.0</v>
      </c>
      <c r="S16" s="12" t="str">
        <f t="shared" si="1"/>
        <v>geoverallgeVisual_Network</v>
      </c>
    </row>
    <row r="17" hidden="1">
      <c r="A17" s="13">
        <v>100.0</v>
      </c>
      <c r="B17" s="14" t="s">
        <v>23</v>
      </c>
      <c r="C17" s="14" t="s">
        <v>25</v>
      </c>
      <c r="D17" s="14" t="s">
        <v>23</v>
      </c>
      <c r="E17" s="15" t="s">
        <v>27</v>
      </c>
      <c r="F17" s="22">
        <v>0.286430361617491</v>
      </c>
      <c r="G17" s="22">
        <v>0.286430361617491</v>
      </c>
      <c r="H17" s="18">
        <v>27.5326108932495</v>
      </c>
      <c r="I17" s="14">
        <v>8.0</v>
      </c>
      <c r="J17" s="18">
        <v>220.260887145996</v>
      </c>
      <c r="K17" s="18">
        <v>32.0803031921387</v>
      </c>
      <c r="L17" s="18">
        <v>32.0803031921387</v>
      </c>
      <c r="M17" s="14">
        <v>1.0</v>
      </c>
      <c r="N17" s="14">
        <v>4.0</v>
      </c>
      <c r="O17" s="14" t="s">
        <v>25</v>
      </c>
      <c r="P17" s="14">
        <v>10.0</v>
      </c>
      <c r="Q17" s="14">
        <v>80.0</v>
      </c>
      <c r="R17" s="14">
        <v>4.0</v>
      </c>
      <c r="S17" s="12" t="str">
        <f t="shared" si="1"/>
        <v>geVisual_NetworkgeMultiple_Demand_Extended_Network</v>
      </c>
    </row>
    <row r="18" hidden="1">
      <c r="A18" s="13">
        <v>100.0</v>
      </c>
      <c r="B18" s="14" t="s">
        <v>23</v>
      </c>
      <c r="C18" s="14" t="s">
        <v>24</v>
      </c>
      <c r="D18" s="14" t="s">
        <v>26</v>
      </c>
      <c r="E18" s="15" t="s">
        <v>24</v>
      </c>
      <c r="F18" s="16"/>
      <c r="G18" s="16"/>
      <c r="H18" s="18">
        <v>26.9419993162155</v>
      </c>
      <c r="I18" s="14">
        <v>10.0</v>
      </c>
      <c r="J18" s="18">
        <v>269.419993162155</v>
      </c>
      <c r="K18" s="19"/>
      <c r="L18" s="19"/>
      <c r="M18" s="20"/>
      <c r="N18" s="20"/>
      <c r="O18" s="14" t="s">
        <v>25</v>
      </c>
      <c r="P18" s="14">
        <v>10.0</v>
      </c>
      <c r="Q18" s="14">
        <v>80.0</v>
      </c>
      <c r="R18" s="14">
        <v>4.0</v>
      </c>
      <c r="S18" s="12" t="str">
        <f t="shared" si="1"/>
        <v>geoverallmodularityoverall</v>
      </c>
    </row>
    <row r="19">
      <c r="A19" s="13">
        <v>102.0</v>
      </c>
      <c r="B19" s="14" t="s">
        <v>23</v>
      </c>
      <c r="C19" s="14" t="s">
        <v>24</v>
      </c>
      <c r="D19" s="14" t="s">
        <v>23</v>
      </c>
      <c r="E19" s="15" t="s">
        <v>25</v>
      </c>
      <c r="F19" s="22">
        <v>1.67140650415392E-10</v>
      </c>
      <c r="G19" s="22">
        <v>1.67140650415392E-10</v>
      </c>
      <c r="H19" s="18">
        <v>21.3423063755035</v>
      </c>
      <c r="I19" s="14">
        <v>3.0</v>
      </c>
      <c r="J19" s="18">
        <v>64.0269191265106</v>
      </c>
      <c r="K19" s="18">
        <v>79.1825969219208</v>
      </c>
      <c r="L19" s="18">
        <v>79.1825969219208</v>
      </c>
      <c r="M19" s="14">
        <v>1.0</v>
      </c>
      <c r="N19" s="14">
        <v>4.0</v>
      </c>
      <c r="O19" s="21"/>
      <c r="P19" s="14">
        <v>10.0</v>
      </c>
      <c r="Q19" s="14">
        <v>80.0</v>
      </c>
      <c r="R19" s="14">
        <v>4.0</v>
      </c>
      <c r="S19" s="12" t="str">
        <f t="shared" si="1"/>
        <v>geoverallgeVisual_Network</v>
      </c>
    </row>
    <row r="20" hidden="1">
      <c r="A20" s="13">
        <v>102.0</v>
      </c>
      <c r="B20" s="14" t="s">
        <v>23</v>
      </c>
      <c r="C20" s="14" t="s">
        <v>24</v>
      </c>
      <c r="D20" s="14" t="s">
        <v>26</v>
      </c>
      <c r="E20" s="15" t="s">
        <v>24</v>
      </c>
      <c r="F20" s="16"/>
      <c r="G20" s="16"/>
      <c r="H20" s="18">
        <v>20.5327332814534</v>
      </c>
      <c r="I20" s="14">
        <v>3.0</v>
      </c>
      <c r="J20" s="18">
        <v>61.5981998443604</v>
      </c>
      <c r="K20" s="19"/>
      <c r="L20" s="19"/>
      <c r="M20" s="20"/>
      <c r="N20" s="21"/>
      <c r="O20" s="21"/>
      <c r="P20" s="14">
        <v>10.0</v>
      </c>
      <c r="Q20" s="14">
        <v>80.0</v>
      </c>
      <c r="R20" s="14">
        <v>4.0</v>
      </c>
      <c r="S20" s="12" t="str">
        <f t="shared" si="1"/>
        <v>geoverallmodularityoverall</v>
      </c>
    </row>
    <row r="21">
      <c r="A21" s="13">
        <v>102.0</v>
      </c>
      <c r="B21" s="14" t="s">
        <v>23</v>
      </c>
      <c r="C21" s="14" t="s">
        <v>24</v>
      </c>
      <c r="D21" s="14" t="s">
        <v>23</v>
      </c>
      <c r="E21" s="15" t="s">
        <v>27</v>
      </c>
      <c r="F21" s="22">
        <v>0.0407131586792815</v>
      </c>
      <c r="G21" s="22">
        <v>0.020356579423217</v>
      </c>
      <c r="H21" s="18">
        <v>25.7055553595225</v>
      </c>
      <c r="I21" s="14">
        <v>6.0</v>
      </c>
      <c r="J21" s="18">
        <v>154.233332157135</v>
      </c>
      <c r="K21" s="18">
        <v>454.354659080505</v>
      </c>
      <c r="L21" s="18">
        <v>75.7257765134176</v>
      </c>
      <c r="M21" s="14">
        <v>6.0</v>
      </c>
      <c r="N21" s="14">
        <v>4.0</v>
      </c>
      <c r="O21" s="21"/>
      <c r="P21" s="14">
        <v>10.0</v>
      </c>
      <c r="Q21" s="14">
        <v>80.0</v>
      </c>
      <c r="R21" s="14">
        <v>4.0</v>
      </c>
      <c r="S21" s="12" t="str">
        <f t="shared" si="1"/>
        <v>geoverallgeMultiple_Demand_Extended_Network</v>
      </c>
    </row>
    <row r="22">
      <c r="A22" s="13">
        <v>103.0</v>
      </c>
      <c r="B22" s="14" t="s">
        <v>23</v>
      </c>
      <c r="C22" s="14" t="s">
        <v>24</v>
      </c>
      <c r="D22" s="14" t="s">
        <v>23</v>
      </c>
      <c r="E22" s="15" t="s">
        <v>25</v>
      </c>
      <c r="F22" s="22">
        <v>1.70708074892755E-10</v>
      </c>
      <c r="G22" s="22">
        <v>1.70708074892755E-10</v>
      </c>
      <c r="H22" s="18">
        <v>22.9837276935577</v>
      </c>
      <c r="I22" s="14">
        <v>6.0</v>
      </c>
      <c r="J22" s="18">
        <v>137.902366161346</v>
      </c>
      <c r="K22" s="18">
        <v>69.7822909355164</v>
      </c>
      <c r="L22" s="18">
        <v>69.7822909355164</v>
      </c>
      <c r="M22" s="14">
        <v>1.0</v>
      </c>
      <c r="N22" s="14">
        <v>4.0</v>
      </c>
      <c r="O22" s="14" t="s">
        <v>27</v>
      </c>
      <c r="P22" s="14">
        <v>10.0</v>
      </c>
      <c r="Q22" s="14">
        <v>80.0</v>
      </c>
      <c r="R22" s="14">
        <v>4.0</v>
      </c>
      <c r="S22" s="12" t="str">
        <f t="shared" si="1"/>
        <v>geoverallgeVisual_Network</v>
      </c>
    </row>
    <row r="23" hidden="1">
      <c r="A23" s="13">
        <v>103.0</v>
      </c>
      <c r="B23" s="14" t="s">
        <v>23</v>
      </c>
      <c r="C23" s="14" t="s">
        <v>24</v>
      </c>
      <c r="D23" s="14" t="s">
        <v>26</v>
      </c>
      <c r="E23" s="15" t="s">
        <v>24</v>
      </c>
      <c r="F23" s="16"/>
      <c r="G23" s="16"/>
      <c r="H23" s="18">
        <v>26.0126646459103</v>
      </c>
      <c r="I23" s="14">
        <v>8.0</v>
      </c>
      <c r="J23" s="18">
        <v>208.101317167282</v>
      </c>
      <c r="K23" s="19"/>
      <c r="L23" s="19"/>
      <c r="M23" s="21"/>
      <c r="N23" s="20"/>
      <c r="O23" s="14" t="s">
        <v>27</v>
      </c>
      <c r="P23" s="14">
        <v>10.0</v>
      </c>
      <c r="Q23" s="14">
        <v>80.0</v>
      </c>
      <c r="R23" s="14">
        <v>4.0</v>
      </c>
      <c r="S23" s="12" t="str">
        <f t="shared" si="1"/>
        <v>geoverallmodularityoverall</v>
      </c>
    </row>
    <row r="24">
      <c r="A24" s="13">
        <v>103.0</v>
      </c>
      <c r="B24" s="14" t="s">
        <v>23</v>
      </c>
      <c r="C24" s="14" t="s">
        <v>24</v>
      </c>
      <c r="D24" s="14" t="s">
        <v>23</v>
      </c>
      <c r="E24" s="15" t="s">
        <v>27</v>
      </c>
      <c r="F24" s="22">
        <v>0.0352740645115972</v>
      </c>
      <c r="G24" s="22">
        <v>0.0176370323402002</v>
      </c>
      <c r="H24" s="18">
        <v>21.0396170020103</v>
      </c>
      <c r="I24" s="14">
        <v>4.0</v>
      </c>
      <c r="J24" s="18">
        <v>84.1584680080414</v>
      </c>
      <c r="K24" s="18">
        <v>304.67852807045</v>
      </c>
      <c r="L24" s="18">
        <v>76.1696320176125</v>
      </c>
      <c r="M24" s="14">
        <v>4.0</v>
      </c>
      <c r="N24" s="14">
        <v>4.0</v>
      </c>
      <c r="O24" s="14" t="s">
        <v>27</v>
      </c>
      <c r="P24" s="14">
        <v>10.0</v>
      </c>
      <c r="Q24" s="14">
        <v>80.0</v>
      </c>
      <c r="R24" s="14">
        <v>4.0</v>
      </c>
      <c r="S24" s="12" t="str">
        <f t="shared" si="1"/>
        <v>geoverallgeMultiple_Demand_Extended_Network</v>
      </c>
    </row>
    <row r="25">
      <c r="A25" s="13">
        <v>104.0</v>
      </c>
      <c r="B25" s="14" t="s">
        <v>23</v>
      </c>
      <c r="C25" s="14" t="s">
        <v>24</v>
      </c>
      <c r="D25" s="14" t="s">
        <v>23</v>
      </c>
      <c r="E25" s="15" t="s">
        <v>25</v>
      </c>
      <c r="F25" s="22">
        <v>1.56206336236025E-10</v>
      </c>
      <c r="G25" s="22">
        <v>1.56206336236025E-10</v>
      </c>
      <c r="H25" s="18">
        <v>17.1788376172384</v>
      </c>
      <c r="I25" s="14">
        <v>3.0</v>
      </c>
      <c r="J25" s="18">
        <v>51.5365128517151</v>
      </c>
      <c r="K25" s="18">
        <v>70.2086741924286</v>
      </c>
      <c r="L25" s="18">
        <v>70.2086741924286</v>
      </c>
      <c r="M25" s="14">
        <v>1.0</v>
      </c>
      <c r="N25" s="14">
        <v>4.0</v>
      </c>
      <c r="O25" s="14" t="s">
        <v>25</v>
      </c>
      <c r="P25" s="14">
        <v>10.0</v>
      </c>
      <c r="Q25" s="14">
        <v>80.0</v>
      </c>
      <c r="R25" s="14">
        <v>4.0</v>
      </c>
      <c r="S25" s="12" t="str">
        <f t="shared" si="1"/>
        <v>geoverallgeVisual_Network</v>
      </c>
    </row>
    <row r="26" hidden="1">
      <c r="A26" s="13">
        <v>104.0</v>
      </c>
      <c r="B26" s="14" t="s">
        <v>23</v>
      </c>
      <c r="C26" s="14" t="s">
        <v>24</v>
      </c>
      <c r="D26" s="14" t="s">
        <v>26</v>
      </c>
      <c r="E26" s="15" t="s">
        <v>24</v>
      </c>
      <c r="F26" s="16"/>
      <c r="G26" s="16"/>
      <c r="H26" s="18">
        <v>21.7362310886383</v>
      </c>
      <c r="I26" s="14">
        <v>8.0</v>
      </c>
      <c r="J26" s="18">
        <v>173.889848709106</v>
      </c>
      <c r="K26" s="19"/>
      <c r="L26" s="19"/>
      <c r="M26" s="21"/>
      <c r="N26" s="21"/>
      <c r="O26" s="14" t="s">
        <v>25</v>
      </c>
      <c r="P26" s="14">
        <v>10.0</v>
      </c>
      <c r="Q26" s="14">
        <v>80.0</v>
      </c>
      <c r="R26" s="14">
        <v>4.0</v>
      </c>
      <c r="S26" s="12" t="str">
        <f t="shared" si="1"/>
        <v>geoverallmodularityoverall</v>
      </c>
    </row>
    <row r="27">
      <c r="A27" s="13">
        <v>105.0</v>
      </c>
      <c r="B27" s="14" t="s">
        <v>23</v>
      </c>
      <c r="C27" s="14" t="s">
        <v>24</v>
      </c>
      <c r="D27" s="14" t="s">
        <v>23</v>
      </c>
      <c r="E27" s="15" t="s">
        <v>25</v>
      </c>
      <c r="F27" s="22">
        <v>0.0110271529344885</v>
      </c>
      <c r="G27" s="22">
        <v>0.00367571772272346</v>
      </c>
      <c r="H27" s="18">
        <v>23.3129046758016</v>
      </c>
      <c r="I27" s="14">
        <v>3.0</v>
      </c>
      <c r="J27" s="18">
        <v>69.9387140274048</v>
      </c>
      <c r="K27" s="18">
        <v>129.013830900192</v>
      </c>
      <c r="L27" s="18">
        <v>64.5069154500961</v>
      </c>
      <c r="M27" s="14">
        <v>2.0</v>
      </c>
      <c r="N27" s="14">
        <v>4.0</v>
      </c>
      <c r="O27" s="21"/>
      <c r="P27" s="14">
        <v>10.0</v>
      </c>
      <c r="Q27" s="14">
        <v>80.0</v>
      </c>
      <c r="R27" s="14">
        <v>4.0</v>
      </c>
      <c r="S27" s="12" t="str">
        <f t="shared" si="1"/>
        <v>geoverallgeVisual_Network</v>
      </c>
    </row>
    <row r="28" hidden="1">
      <c r="A28" s="13">
        <v>105.0</v>
      </c>
      <c r="B28" s="14" t="s">
        <v>23</v>
      </c>
      <c r="C28" s="14" t="s">
        <v>24</v>
      </c>
      <c r="D28" s="14" t="s">
        <v>26</v>
      </c>
      <c r="E28" s="15" t="s">
        <v>24</v>
      </c>
      <c r="F28" s="16"/>
      <c r="G28" s="16"/>
      <c r="H28" s="18">
        <v>40.4905097143991</v>
      </c>
      <c r="I28" s="14">
        <v>21.0</v>
      </c>
      <c r="J28" s="18">
        <v>850.30070400238</v>
      </c>
      <c r="K28" s="19"/>
      <c r="L28" s="19"/>
      <c r="M28" s="20"/>
      <c r="N28" s="21"/>
      <c r="O28" s="21"/>
      <c r="P28" s="14">
        <v>10.0</v>
      </c>
      <c r="Q28" s="14">
        <v>80.0</v>
      </c>
      <c r="R28" s="14">
        <v>4.0</v>
      </c>
      <c r="S28" s="12" t="str">
        <f t="shared" si="1"/>
        <v>geoverallmodularityoverall</v>
      </c>
    </row>
    <row r="29" hidden="1">
      <c r="A29" s="13">
        <v>106.0</v>
      </c>
      <c r="B29" s="14" t="s">
        <v>23</v>
      </c>
      <c r="C29" s="14" t="s">
        <v>24</v>
      </c>
      <c r="D29" s="14" t="s">
        <v>26</v>
      </c>
      <c r="E29" s="15" t="s">
        <v>24</v>
      </c>
      <c r="F29" s="16"/>
      <c r="G29" s="16"/>
      <c r="H29" s="18">
        <v>23.7563087940216</v>
      </c>
      <c r="I29" s="14">
        <v>5.0</v>
      </c>
      <c r="J29" s="18">
        <v>118.781543970108</v>
      </c>
      <c r="K29" s="19"/>
      <c r="L29" s="19"/>
      <c r="M29" s="21"/>
      <c r="N29" s="20"/>
      <c r="O29" s="14" t="s">
        <v>27</v>
      </c>
      <c r="P29" s="14">
        <v>10.0</v>
      </c>
      <c r="Q29" s="14">
        <v>80.0</v>
      </c>
      <c r="R29" s="14">
        <v>4.0</v>
      </c>
      <c r="S29" s="12" t="str">
        <f t="shared" si="1"/>
        <v>geoverallmodularityoverall</v>
      </c>
    </row>
    <row r="30">
      <c r="A30" s="13">
        <v>107.0</v>
      </c>
      <c r="B30" s="14" t="s">
        <v>23</v>
      </c>
      <c r="C30" s="14" t="s">
        <v>24</v>
      </c>
      <c r="D30" s="14" t="s">
        <v>23</v>
      </c>
      <c r="E30" s="15" t="s">
        <v>25</v>
      </c>
      <c r="F30" s="22">
        <v>0.21568763044814</v>
      </c>
      <c r="G30" s="22">
        <v>0.0539219077427275</v>
      </c>
      <c r="H30" s="18">
        <v>23.4869212309519</v>
      </c>
      <c r="I30" s="14">
        <v>9.0</v>
      </c>
      <c r="J30" s="18">
        <v>211.382291078568</v>
      </c>
      <c r="K30" s="18">
        <v>1001.05353021622</v>
      </c>
      <c r="L30" s="18">
        <v>100.105353021622</v>
      </c>
      <c r="M30" s="14">
        <v>10.0</v>
      </c>
      <c r="N30" s="14">
        <v>4.0</v>
      </c>
      <c r="O30" s="14" t="s">
        <v>25</v>
      </c>
      <c r="P30" s="14">
        <v>10.0</v>
      </c>
      <c r="Q30" s="14">
        <v>80.0</v>
      </c>
      <c r="R30" s="14">
        <v>4.0</v>
      </c>
      <c r="S30" s="12" t="str">
        <f t="shared" si="1"/>
        <v>geoverallgeVisual_Network</v>
      </c>
    </row>
    <row r="31" hidden="1">
      <c r="A31" s="13">
        <v>107.0</v>
      </c>
      <c r="B31" s="14" t="s">
        <v>23</v>
      </c>
      <c r="C31" s="14" t="s">
        <v>25</v>
      </c>
      <c r="D31" s="14" t="s">
        <v>23</v>
      </c>
      <c r="E31" s="15" t="s">
        <v>27</v>
      </c>
      <c r="F31" s="22">
        <v>3.56833430008857E-11</v>
      </c>
      <c r="G31" s="22">
        <v>1.35763523362596E-11</v>
      </c>
      <c r="H31" s="18">
        <v>27.0379412472248</v>
      </c>
      <c r="I31" s="14">
        <v>16.0</v>
      </c>
      <c r="J31" s="18">
        <v>432.607059955597</v>
      </c>
      <c r="K31" s="18">
        <v>184.845419883728</v>
      </c>
      <c r="L31" s="18">
        <v>61.6151399612427</v>
      </c>
      <c r="M31" s="14">
        <v>3.0</v>
      </c>
      <c r="N31" s="14">
        <v>4.0</v>
      </c>
      <c r="O31" s="14" t="s">
        <v>25</v>
      </c>
      <c r="P31" s="14">
        <v>10.0</v>
      </c>
      <c r="Q31" s="14">
        <v>80.0</v>
      </c>
      <c r="R31" s="14">
        <v>4.0</v>
      </c>
      <c r="S31" s="12" t="str">
        <f t="shared" si="1"/>
        <v>geVisual_NetworkgeMultiple_Demand_Extended_Network</v>
      </c>
    </row>
    <row r="32" hidden="1">
      <c r="A32" s="13">
        <v>107.0</v>
      </c>
      <c r="B32" s="14" t="s">
        <v>23</v>
      </c>
      <c r="C32" s="14" t="s">
        <v>24</v>
      </c>
      <c r="D32" s="14" t="s">
        <v>26</v>
      </c>
      <c r="E32" s="15" t="s">
        <v>24</v>
      </c>
      <c r="F32" s="16"/>
      <c r="G32" s="16"/>
      <c r="H32" s="18">
        <v>20.5481162865957</v>
      </c>
      <c r="I32" s="14">
        <v>3.0</v>
      </c>
      <c r="J32" s="18">
        <v>61.644348859787</v>
      </c>
      <c r="K32" s="19"/>
      <c r="L32" s="19"/>
      <c r="M32" s="21"/>
      <c r="N32" s="21"/>
      <c r="O32" s="14" t="s">
        <v>25</v>
      </c>
      <c r="P32" s="14">
        <v>10.0</v>
      </c>
      <c r="Q32" s="14">
        <v>80.0</v>
      </c>
      <c r="R32" s="14">
        <v>4.0</v>
      </c>
      <c r="S32" s="12" t="str">
        <f t="shared" si="1"/>
        <v>geoverallmodularityoverall</v>
      </c>
    </row>
    <row r="33">
      <c r="A33" s="13">
        <v>108.0</v>
      </c>
      <c r="B33" s="14" t="s">
        <v>23</v>
      </c>
      <c r="C33" s="14" t="s">
        <v>24</v>
      </c>
      <c r="D33" s="14" t="s">
        <v>23</v>
      </c>
      <c r="E33" s="15" t="s">
        <v>25</v>
      </c>
      <c r="F33" s="22">
        <v>1.12820835678416E-10</v>
      </c>
      <c r="G33" s="22">
        <v>1.12806496003716E-10</v>
      </c>
      <c r="H33" s="18">
        <v>24.977681239446</v>
      </c>
      <c r="I33" s="14">
        <v>9.0</v>
      </c>
      <c r="J33" s="18">
        <v>224.799131155014</v>
      </c>
      <c r="K33" s="18">
        <v>71.1789801120758</v>
      </c>
      <c r="L33" s="18">
        <v>71.1789801120758</v>
      </c>
      <c r="M33" s="14">
        <v>1.0</v>
      </c>
      <c r="N33" s="14">
        <v>4.0</v>
      </c>
      <c r="O33" s="21"/>
      <c r="P33" s="14">
        <v>10.0</v>
      </c>
      <c r="Q33" s="14">
        <v>80.0</v>
      </c>
      <c r="R33" s="14">
        <v>4.0</v>
      </c>
      <c r="S33" s="12" t="str">
        <f t="shared" si="1"/>
        <v>geoverallgeVisual_Network</v>
      </c>
    </row>
    <row r="34" hidden="1">
      <c r="A34" s="13">
        <v>108.0</v>
      </c>
      <c r="B34" s="14" t="s">
        <v>23</v>
      </c>
      <c r="C34" s="14" t="s">
        <v>24</v>
      </c>
      <c r="D34" s="14" t="s">
        <v>26</v>
      </c>
      <c r="E34" s="15" t="s">
        <v>24</v>
      </c>
      <c r="F34" s="16"/>
      <c r="G34" s="16"/>
      <c r="H34" s="18">
        <v>18.2513935565948</v>
      </c>
      <c r="I34" s="14">
        <v>2.0</v>
      </c>
      <c r="J34" s="18">
        <v>36.5027871131897</v>
      </c>
      <c r="K34" s="19"/>
      <c r="L34" s="19"/>
      <c r="M34" s="21"/>
      <c r="N34" s="20"/>
      <c r="O34" s="21"/>
      <c r="P34" s="14">
        <v>10.0</v>
      </c>
      <c r="Q34" s="14">
        <v>80.0</v>
      </c>
      <c r="R34" s="14">
        <v>4.0</v>
      </c>
      <c r="S34" s="12" t="str">
        <f t="shared" si="1"/>
        <v>geoverallmodularityoverall</v>
      </c>
    </row>
    <row r="35">
      <c r="A35" s="13">
        <v>108.0</v>
      </c>
      <c r="B35" s="14" t="s">
        <v>23</v>
      </c>
      <c r="C35" s="14" t="s">
        <v>24</v>
      </c>
      <c r="D35" s="14" t="s">
        <v>23</v>
      </c>
      <c r="E35" s="15" t="s">
        <v>27</v>
      </c>
      <c r="F35" s="22">
        <v>1.12831002374819E-10</v>
      </c>
      <c r="G35" s="22">
        <v>1.12831002374819E-10</v>
      </c>
      <c r="H35" s="18">
        <v>16.9069230556488</v>
      </c>
      <c r="I35" s="14">
        <v>2.0</v>
      </c>
      <c r="J35" s="18">
        <v>33.8138461112976</v>
      </c>
      <c r="K35" s="18">
        <v>70.1131479740143</v>
      </c>
      <c r="L35" s="18">
        <v>70.1131479740143</v>
      </c>
      <c r="M35" s="14">
        <v>1.0</v>
      </c>
      <c r="N35" s="14">
        <v>4.0</v>
      </c>
      <c r="O35" s="21"/>
      <c r="P35" s="14">
        <v>10.0</v>
      </c>
      <c r="Q35" s="14">
        <v>80.0</v>
      </c>
      <c r="R35" s="14">
        <v>4.0</v>
      </c>
      <c r="S35" s="12" t="str">
        <f t="shared" si="1"/>
        <v>geoverallgeMultiple_Demand_Extended_Network</v>
      </c>
    </row>
    <row r="36">
      <c r="A36" s="13">
        <v>109.0</v>
      </c>
      <c r="B36" s="14" t="s">
        <v>23</v>
      </c>
      <c r="C36" s="14" t="s">
        <v>24</v>
      </c>
      <c r="D36" s="14" t="s">
        <v>23</v>
      </c>
      <c r="E36" s="15" t="s">
        <v>25</v>
      </c>
      <c r="F36" s="22">
        <v>0.0350272643249667</v>
      </c>
      <c r="G36" s="22">
        <v>0.0136480107483652</v>
      </c>
      <c r="H36" s="18">
        <v>26.6015949249268</v>
      </c>
      <c r="I36" s="14">
        <v>13.0</v>
      </c>
      <c r="J36" s="18">
        <v>345.820734024048</v>
      </c>
      <c r="K36" s="18">
        <v>1667.44662904739</v>
      </c>
      <c r="L36" s="18">
        <v>92.6359238359663</v>
      </c>
      <c r="M36" s="14">
        <v>18.0</v>
      </c>
      <c r="N36" s="14">
        <v>4.0</v>
      </c>
      <c r="O36" s="14" t="s">
        <v>27</v>
      </c>
      <c r="P36" s="14">
        <v>10.0</v>
      </c>
      <c r="Q36" s="14">
        <v>80.0</v>
      </c>
      <c r="R36" s="14">
        <v>4.0</v>
      </c>
      <c r="S36" s="12" t="str">
        <f t="shared" si="1"/>
        <v>geoverallgeVisual_Network</v>
      </c>
    </row>
    <row r="37" hidden="1">
      <c r="A37" s="13">
        <v>109.0</v>
      </c>
      <c r="B37" s="14" t="s">
        <v>23</v>
      </c>
      <c r="C37" s="14" t="s">
        <v>25</v>
      </c>
      <c r="D37" s="14" t="s">
        <v>23</v>
      </c>
      <c r="E37" s="15" t="s">
        <v>27</v>
      </c>
      <c r="F37" s="22">
        <v>0.100688034903683</v>
      </c>
      <c r="G37" s="22">
        <v>0.065561826954901</v>
      </c>
      <c r="H37" s="18">
        <v>31.0443343321482</v>
      </c>
      <c r="I37" s="14">
        <v>21.0</v>
      </c>
      <c r="J37" s="18">
        <v>651.931020975113</v>
      </c>
      <c r="K37" s="18">
        <v>332.115381002426</v>
      </c>
      <c r="L37" s="18">
        <v>66.4230762004852</v>
      </c>
      <c r="M37" s="14">
        <v>5.0</v>
      </c>
      <c r="N37" s="14">
        <v>4.0</v>
      </c>
      <c r="O37" s="14" t="s">
        <v>25</v>
      </c>
      <c r="P37" s="14">
        <v>10.0</v>
      </c>
      <c r="Q37" s="14">
        <v>80.0</v>
      </c>
      <c r="R37" s="14">
        <v>4.0</v>
      </c>
      <c r="S37" s="12" t="str">
        <f t="shared" si="1"/>
        <v>geVisual_NetworkgeMultiple_Demand_Extended_Network</v>
      </c>
    </row>
    <row r="38" hidden="1">
      <c r="A38" s="13">
        <v>109.0</v>
      </c>
      <c r="B38" s="14" t="s">
        <v>23</v>
      </c>
      <c r="C38" s="14" t="s">
        <v>24</v>
      </c>
      <c r="D38" s="14" t="s">
        <v>26</v>
      </c>
      <c r="E38" s="15" t="s">
        <v>24</v>
      </c>
      <c r="F38" s="16"/>
      <c r="G38" s="16"/>
      <c r="H38" s="18">
        <v>29.4507790026457</v>
      </c>
      <c r="I38" s="14">
        <v>23.0</v>
      </c>
      <c r="J38" s="18">
        <v>677.367917060852</v>
      </c>
      <c r="K38" s="19"/>
      <c r="L38" s="19"/>
      <c r="M38" s="21"/>
      <c r="N38" s="21"/>
      <c r="O38" s="14" t="s">
        <v>25</v>
      </c>
      <c r="P38" s="14">
        <v>10.0</v>
      </c>
      <c r="Q38" s="14">
        <v>80.0</v>
      </c>
      <c r="R38" s="14">
        <v>4.0</v>
      </c>
      <c r="S38" s="12" t="str">
        <f t="shared" si="1"/>
        <v>geoverallmodularityoverall</v>
      </c>
    </row>
    <row r="39">
      <c r="A39" s="13">
        <v>110.0</v>
      </c>
      <c r="B39" s="14" t="s">
        <v>23</v>
      </c>
      <c r="C39" s="14" t="s">
        <v>24</v>
      </c>
      <c r="D39" s="14" t="s">
        <v>23</v>
      </c>
      <c r="E39" s="15" t="s">
        <v>25</v>
      </c>
      <c r="F39" s="22">
        <v>0.113008854336641</v>
      </c>
      <c r="G39" s="22">
        <v>0.0713960912956585</v>
      </c>
      <c r="H39" s="18">
        <v>19.1734900474548</v>
      </c>
      <c r="I39" s="14">
        <v>2.0</v>
      </c>
      <c r="J39" s="18">
        <v>38.3469800949097</v>
      </c>
      <c r="K39" s="18">
        <v>521.668030977249</v>
      </c>
      <c r="L39" s="18">
        <v>65.2085038721561</v>
      </c>
      <c r="M39" s="14">
        <v>8.0</v>
      </c>
      <c r="N39" s="14">
        <v>4.0</v>
      </c>
      <c r="O39" s="21"/>
      <c r="P39" s="14">
        <v>10.0</v>
      </c>
      <c r="Q39" s="14">
        <v>80.0</v>
      </c>
      <c r="R39" s="14">
        <v>4.0</v>
      </c>
      <c r="S39" s="12" t="str">
        <f t="shared" si="1"/>
        <v>geoverallgeVisual_Network</v>
      </c>
    </row>
    <row r="40" hidden="1">
      <c r="A40" s="13">
        <v>110.0</v>
      </c>
      <c r="B40" s="14" t="s">
        <v>23</v>
      </c>
      <c r="C40" s="14" t="s">
        <v>24</v>
      </c>
      <c r="D40" s="14" t="s">
        <v>26</v>
      </c>
      <c r="E40" s="15" t="s">
        <v>24</v>
      </c>
      <c r="F40" s="16"/>
      <c r="G40" s="16"/>
      <c r="H40" s="18">
        <v>28.9650405320254</v>
      </c>
      <c r="I40" s="14">
        <v>22.0</v>
      </c>
      <c r="J40" s="18">
        <v>637.230891704559</v>
      </c>
      <c r="K40" s="19"/>
      <c r="L40" s="19"/>
      <c r="M40" s="20"/>
      <c r="N40" s="21"/>
      <c r="O40" s="21"/>
      <c r="P40" s="14">
        <v>10.0</v>
      </c>
      <c r="Q40" s="14">
        <v>80.0</v>
      </c>
      <c r="R40" s="14">
        <v>4.0</v>
      </c>
      <c r="S40" s="12" t="str">
        <f t="shared" si="1"/>
        <v>geoverallmodularityoverall</v>
      </c>
    </row>
    <row r="41">
      <c r="A41" s="13">
        <v>110.0</v>
      </c>
      <c r="B41" s="14" t="s">
        <v>23</v>
      </c>
      <c r="C41" s="14" t="s">
        <v>24</v>
      </c>
      <c r="D41" s="14" t="s">
        <v>23</v>
      </c>
      <c r="E41" s="15" t="s">
        <v>27</v>
      </c>
      <c r="F41" s="22">
        <v>1.26790787578461E-10</v>
      </c>
      <c r="G41" s="22">
        <v>1.25729511268894E-10</v>
      </c>
      <c r="H41" s="18">
        <v>25.1236121313913</v>
      </c>
      <c r="I41" s="14">
        <v>7.0</v>
      </c>
      <c r="J41" s="18">
        <v>175.865284919739</v>
      </c>
      <c r="K41" s="18">
        <v>387.674911022186</v>
      </c>
      <c r="L41" s="18">
        <v>96.9187277555466</v>
      </c>
      <c r="M41" s="14">
        <v>4.0</v>
      </c>
      <c r="N41" s="14">
        <v>4.0</v>
      </c>
      <c r="O41" s="21"/>
      <c r="P41" s="14">
        <v>10.0</v>
      </c>
      <c r="Q41" s="14">
        <v>80.0</v>
      </c>
      <c r="R41" s="14">
        <v>4.0</v>
      </c>
      <c r="S41" s="12" t="str">
        <f t="shared" si="1"/>
        <v>geoverallgeMultiple_Demand_Extended_Network</v>
      </c>
    </row>
    <row r="42">
      <c r="A42" s="13">
        <v>111.0</v>
      </c>
      <c r="B42" s="14" t="s">
        <v>23</v>
      </c>
      <c r="C42" s="14" t="s">
        <v>24</v>
      </c>
      <c r="D42" s="14" t="s">
        <v>23</v>
      </c>
      <c r="E42" s="15" t="s">
        <v>25</v>
      </c>
      <c r="F42" s="22">
        <v>0.00616344492277676</v>
      </c>
      <c r="G42" s="22">
        <v>0.00284466694058489</v>
      </c>
      <c r="H42" s="18">
        <v>29.7100750749761</v>
      </c>
      <c r="I42" s="14">
        <v>11.0</v>
      </c>
      <c r="J42" s="18">
        <v>326.810825824737</v>
      </c>
      <c r="K42" s="18">
        <v>888.700551986694</v>
      </c>
      <c r="L42" s="18">
        <v>74.0583793322245</v>
      </c>
      <c r="M42" s="14">
        <v>12.0</v>
      </c>
      <c r="N42" s="14">
        <v>4.0</v>
      </c>
      <c r="O42" s="14" t="s">
        <v>27</v>
      </c>
      <c r="P42" s="14">
        <v>10.0</v>
      </c>
      <c r="Q42" s="14">
        <v>80.0</v>
      </c>
      <c r="R42" s="14">
        <v>4.0</v>
      </c>
      <c r="S42" s="12" t="str">
        <f t="shared" si="1"/>
        <v>geoverallgeVisual_Network</v>
      </c>
    </row>
    <row r="43" hidden="1">
      <c r="A43" s="13">
        <v>111.0</v>
      </c>
      <c r="B43" s="14" t="s">
        <v>23</v>
      </c>
      <c r="C43" s="14" t="s">
        <v>24</v>
      </c>
      <c r="D43" s="14" t="s">
        <v>26</v>
      </c>
      <c r="E43" s="15" t="s">
        <v>24</v>
      </c>
      <c r="F43" s="16"/>
      <c r="G43" s="16"/>
      <c r="H43" s="18">
        <v>33.6223831119991</v>
      </c>
      <c r="I43" s="14">
        <v>42.0</v>
      </c>
      <c r="J43" s="18">
        <v>1412.14009070396</v>
      </c>
      <c r="K43" s="19"/>
      <c r="L43" s="19"/>
      <c r="M43" s="21"/>
      <c r="N43" s="21"/>
      <c r="O43" s="14" t="s">
        <v>27</v>
      </c>
      <c r="P43" s="14">
        <v>10.0</v>
      </c>
      <c r="Q43" s="14">
        <v>80.0</v>
      </c>
      <c r="R43" s="14">
        <v>4.0</v>
      </c>
      <c r="S43" s="12" t="str">
        <f t="shared" si="1"/>
        <v>geoverallmodularityoverall</v>
      </c>
    </row>
    <row r="44">
      <c r="A44" s="13">
        <v>111.0</v>
      </c>
      <c r="B44" s="14" t="s">
        <v>23</v>
      </c>
      <c r="C44" s="14" t="s">
        <v>24</v>
      </c>
      <c r="D44" s="14" t="s">
        <v>23</v>
      </c>
      <c r="E44" s="15" t="s">
        <v>27</v>
      </c>
      <c r="F44" s="22">
        <v>0.00521522260255836</v>
      </c>
      <c r="G44" s="22">
        <v>0.00521522260255836</v>
      </c>
      <c r="H44" s="18">
        <v>27.071624994278</v>
      </c>
      <c r="I44" s="14">
        <v>6.0</v>
      </c>
      <c r="J44" s="18">
        <v>162.429749965668</v>
      </c>
      <c r="K44" s="18">
        <v>713.949486970901</v>
      </c>
      <c r="L44" s="18">
        <v>79.3277207745446</v>
      </c>
      <c r="M44" s="14">
        <v>9.0</v>
      </c>
      <c r="N44" s="14">
        <v>4.0</v>
      </c>
      <c r="O44" s="14" t="s">
        <v>27</v>
      </c>
      <c r="P44" s="14">
        <v>10.0</v>
      </c>
      <c r="Q44" s="14">
        <v>80.0</v>
      </c>
      <c r="R44" s="14">
        <v>4.0</v>
      </c>
      <c r="S44" s="12" t="str">
        <f t="shared" si="1"/>
        <v>geoverallgeMultiple_Demand_Extended_Network</v>
      </c>
    </row>
    <row r="45">
      <c r="A45" s="13">
        <v>112.0</v>
      </c>
      <c r="B45" s="14" t="s">
        <v>23</v>
      </c>
      <c r="C45" s="14" t="s">
        <v>24</v>
      </c>
      <c r="D45" s="14" t="s">
        <v>23</v>
      </c>
      <c r="E45" s="15" t="s">
        <v>25</v>
      </c>
      <c r="F45" s="22">
        <v>0.0438944907266148</v>
      </c>
      <c r="G45" s="22">
        <v>0.0355449951579251</v>
      </c>
      <c r="H45" s="18">
        <v>15.7314835786819</v>
      </c>
      <c r="I45" s="14">
        <v>2.0</v>
      </c>
      <c r="J45" s="18">
        <v>31.4629671573639</v>
      </c>
      <c r="K45" s="18">
        <v>223.088999032974</v>
      </c>
      <c r="L45" s="18">
        <v>74.3629996776581</v>
      </c>
      <c r="M45" s="14">
        <v>3.0</v>
      </c>
      <c r="N45" s="14">
        <v>4.0</v>
      </c>
      <c r="O45" s="14" t="s">
        <v>25</v>
      </c>
      <c r="P45" s="14">
        <v>10.0</v>
      </c>
      <c r="Q45" s="14">
        <v>80.0</v>
      </c>
      <c r="R45" s="14">
        <v>4.0</v>
      </c>
      <c r="S45" s="12" t="str">
        <f t="shared" si="1"/>
        <v>geoverallgeVisual_Network</v>
      </c>
    </row>
    <row r="46" hidden="1">
      <c r="A46" s="13">
        <v>112.0</v>
      </c>
      <c r="B46" s="14" t="s">
        <v>23</v>
      </c>
      <c r="C46" s="14" t="s">
        <v>25</v>
      </c>
      <c r="D46" s="14" t="s">
        <v>23</v>
      </c>
      <c r="E46" s="15" t="s">
        <v>27</v>
      </c>
      <c r="F46" s="22">
        <v>2.71546342775551E-12</v>
      </c>
      <c r="G46" s="22">
        <v>2.71546342775551E-12</v>
      </c>
      <c r="H46" s="18">
        <v>20.1959339891161</v>
      </c>
      <c r="I46" s="14">
        <v>7.0</v>
      </c>
      <c r="J46" s="18">
        <v>141.371537923813</v>
      </c>
      <c r="K46" s="18">
        <v>63.3221917152405</v>
      </c>
      <c r="L46" s="18">
        <v>63.3221917152405</v>
      </c>
      <c r="M46" s="14">
        <v>1.0</v>
      </c>
      <c r="N46" s="14">
        <v>4.0</v>
      </c>
      <c r="O46" s="14" t="s">
        <v>25</v>
      </c>
      <c r="P46" s="14">
        <v>10.0</v>
      </c>
      <c r="Q46" s="14">
        <v>80.0</v>
      </c>
      <c r="R46" s="14">
        <v>4.0</v>
      </c>
      <c r="S46" s="12" t="str">
        <f t="shared" si="1"/>
        <v>geVisual_NetworkgeMultiple_Demand_Extended_Network</v>
      </c>
    </row>
    <row r="47" hidden="1">
      <c r="A47" s="13">
        <v>112.0</v>
      </c>
      <c r="B47" s="14" t="s">
        <v>23</v>
      </c>
      <c r="C47" s="14" t="s">
        <v>24</v>
      </c>
      <c r="D47" s="14" t="s">
        <v>26</v>
      </c>
      <c r="E47" s="15" t="s">
        <v>24</v>
      </c>
      <c r="F47" s="16"/>
      <c r="G47" s="16"/>
      <c r="H47" s="18">
        <v>22.5294111222029</v>
      </c>
      <c r="I47" s="14">
        <v>16.0</v>
      </c>
      <c r="J47" s="18">
        <v>360.470577955246</v>
      </c>
      <c r="K47" s="19"/>
      <c r="L47" s="19"/>
      <c r="M47" s="20"/>
      <c r="N47" s="21"/>
      <c r="O47" s="14" t="s">
        <v>25</v>
      </c>
      <c r="P47" s="14">
        <v>10.0</v>
      </c>
      <c r="Q47" s="14">
        <v>80.0</v>
      </c>
      <c r="R47" s="14">
        <v>4.0</v>
      </c>
      <c r="S47" s="12" t="str">
        <f t="shared" si="1"/>
        <v>geoverallmodularityoverall</v>
      </c>
    </row>
    <row r="48">
      <c r="A48" s="13">
        <v>113.0</v>
      </c>
      <c r="B48" s="14" t="s">
        <v>23</v>
      </c>
      <c r="C48" s="14" t="s">
        <v>24</v>
      </c>
      <c r="D48" s="14" t="s">
        <v>23</v>
      </c>
      <c r="E48" s="15" t="s">
        <v>25</v>
      </c>
      <c r="F48" s="22">
        <v>0.0391547528441549</v>
      </c>
      <c r="G48" s="22">
        <v>0.0142080538677805</v>
      </c>
      <c r="H48" s="18">
        <v>20.0346989631653</v>
      </c>
      <c r="I48" s="14">
        <v>4.0</v>
      </c>
      <c r="J48" s="18">
        <v>80.1387958526611</v>
      </c>
      <c r="K48" s="18">
        <v>375.80708694458</v>
      </c>
      <c r="L48" s="18">
        <v>75.161417388916</v>
      </c>
      <c r="M48" s="14">
        <v>5.0</v>
      </c>
      <c r="N48" s="14">
        <v>4.0</v>
      </c>
      <c r="O48" s="21"/>
      <c r="P48" s="14">
        <v>10.0</v>
      </c>
      <c r="Q48" s="14">
        <v>80.0</v>
      </c>
      <c r="R48" s="14">
        <v>4.0</v>
      </c>
      <c r="S48" s="12" t="str">
        <f t="shared" si="1"/>
        <v>geoverallgeVisual_Network</v>
      </c>
    </row>
    <row r="49" hidden="1">
      <c r="A49" s="13">
        <v>113.0</v>
      </c>
      <c r="B49" s="14" t="s">
        <v>23</v>
      </c>
      <c r="C49" s="14" t="s">
        <v>24</v>
      </c>
      <c r="D49" s="14" t="s">
        <v>26</v>
      </c>
      <c r="E49" s="15" t="s">
        <v>24</v>
      </c>
      <c r="F49" s="16"/>
      <c r="G49" s="16"/>
      <c r="H49" s="18">
        <v>23.1340249975522</v>
      </c>
      <c r="I49" s="14">
        <v>12.0</v>
      </c>
      <c r="J49" s="18">
        <v>277.608299970627</v>
      </c>
      <c r="K49" s="19"/>
      <c r="L49" s="19"/>
      <c r="M49" s="20"/>
      <c r="N49" s="20"/>
      <c r="O49" s="21"/>
      <c r="P49" s="14">
        <v>10.0</v>
      </c>
      <c r="Q49" s="14">
        <v>80.0</v>
      </c>
      <c r="R49" s="14">
        <v>4.0</v>
      </c>
      <c r="S49" s="12" t="str">
        <f t="shared" si="1"/>
        <v>geoverallmodularityoverall</v>
      </c>
    </row>
    <row r="50">
      <c r="A50" s="13">
        <v>113.0</v>
      </c>
      <c r="B50" s="14" t="s">
        <v>23</v>
      </c>
      <c r="C50" s="14" t="s">
        <v>24</v>
      </c>
      <c r="D50" s="14" t="s">
        <v>23</v>
      </c>
      <c r="E50" s="15" t="s">
        <v>27</v>
      </c>
      <c r="F50" s="22">
        <v>0.0188339316618453</v>
      </c>
      <c r="G50" s="22">
        <v>0.0188339316618453</v>
      </c>
      <c r="H50" s="18">
        <v>16.6569050550461</v>
      </c>
      <c r="I50" s="14">
        <v>2.0</v>
      </c>
      <c r="J50" s="18">
        <v>33.3138101100922</v>
      </c>
      <c r="K50" s="18">
        <v>69.8182759284973</v>
      </c>
      <c r="L50" s="18">
        <v>69.8182759284973</v>
      </c>
      <c r="M50" s="14">
        <v>1.0</v>
      </c>
      <c r="N50" s="14">
        <v>4.0</v>
      </c>
      <c r="O50" s="21"/>
      <c r="P50" s="14">
        <v>10.0</v>
      </c>
      <c r="Q50" s="14">
        <v>80.0</v>
      </c>
      <c r="R50" s="14">
        <v>4.0</v>
      </c>
      <c r="S50" s="12" t="str">
        <f t="shared" si="1"/>
        <v>geoverallgeMultiple_Demand_Extended_Network</v>
      </c>
    </row>
    <row r="51">
      <c r="A51" s="13">
        <v>114.0</v>
      </c>
      <c r="B51" s="14" t="s">
        <v>23</v>
      </c>
      <c r="C51" s="14" t="s">
        <v>24</v>
      </c>
      <c r="D51" s="14" t="s">
        <v>23</v>
      </c>
      <c r="E51" s="15" t="s">
        <v>25</v>
      </c>
      <c r="F51" s="22">
        <v>0.140306405328417</v>
      </c>
      <c r="G51" s="22">
        <v>0.0935376036092897</v>
      </c>
      <c r="H51" s="18">
        <v>18.594206015269</v>
      </c>
      <c r="I51" s="14">
        <v>3.0</v>
      </c>
      <c r="J51" s="18">
        <v>55.7826180458069</v>
      </c>
      <c r="K51" s="18">
        <v>330.051393032074</v>
      </c>
      <c r="L51" s="18">
        <v>66.0102786064148</v>
      </c>
      <c r="M51" s="14">
        <v>5.0</v>
      </c>
      <c r="N51" s="14">
        <v>4.0</v>
      </c>
      <c r="O51" s="14" t="s">
        <v>27</v>
      </c>
      <c r="P51" s="14">
        <v>10.0</v>
      </c>
      <c r="Q51" s="14">
        <v>80.0</v>
      </c>
      <c r="R51" s="14">
        <v>4.0</v>
      </c>
      <c r="S51" s="12" t="str">
        <f t="shared" si="1"/>
        <v>geoverallgeVisual_Network</v>
      </c>
    </row>
    <row r="52" hidden="1">
      <c r="A52" s="13">
        <v>114.0</v>
      </c>
      <c r="B52" s="14" t="s">
        <v>23</v>
      </c>
      <c r="C52" s="14" t="s">
        <v>24</v>
      </c>
      <c r="D52" s="14" t="s">
        <v>26</v>
      </c>
      <c r="E52" s="15" t="s">
        <v>24</v>
      </c>
      <c r="F52" s="16"/>
      <c r="G52" s="16"/>
      <c r="H52" s="18">
        <v>17.7701880335808</v>
      </c>
      <c r="I52" s="14">
        <v>4.0</v>
      </c>
      <c r="J52" s="18">
        <v>71.0807521343231</v>
      </c>
      <c r="K52" s="19"/>
      <c r="L52" s="19"/>
      <c r="M52" s="21"/>
      <c r="N52" s="21"/>
      <c r="O52" s="14" t="s">
        <v>27</v>
      </c>
      <c r="P52" s="14">
        <v>10.0</v>
      </c>
      <c r="Q52" s="14">
        <v>80.0</v>
      </c>
      <c r="R52" s="14">
        <v>4.0</v>
      </c>
      <c r="S52" s="12" t="str">
        <f t="shared" si="1"/>
        <v>geoverallmodularityoverall</v>
      </c>
    </row>
    <row r="53">
      <c r="A53" s="13">
        <v>114.0</v>
      </c>
      <c r="B53" s="14" t="s">
        <v>23</v>
      </c>
      <c r="C53" s="14" t="s">
        <v>24</v>
      </c>
      <c r="D53" s="14" t="s">
        <v>23</v>
      </c>
      <c r="E53" s="15" t="s">
        <v>27</v>
      </c>
      <c r="F53" s="22">
        <v>1.89820363471069E-10</v>
      </c>
      <c r="G53" s="22">
        <v>1.89820363471069E-10</v>
      </c>
      <c r="H53" s="18">
        <v>18.8995156685511</v>
      </c>
      <c r="I53" s="14">
        <v>6.0</v>
      </c>
      <c r="J53" s="18">
        <v>113.397094011307</v>
      </c>
      <c r="K53" s="18">
        <v>67.8391470909119</v>
      </c>
      <c r="L53" s="18">
        <v>67.8391470909119</v>
      </c>
      <c r="M53" s="14">
        <v>1.0</v>
      </c>
      <c r="N53" s="14">
        <v>4.0</v>
      </c>
      <c r="O53" s="14" t="s">
        <v>27</v>
      </c>
      <c r="P53" s="14">
        <v>10.0</v>
      </c>
      <c r="Q53" s="14">
        <v>80.0</v>
      </c>
      <c r="R53" s="14">
        <v>4.0</v>
      </c>
      <c r="S53" s="12" t="str">
        <f t="shared" si="1"/>
        <v>geoverallgeMultiple_Demand_Extended_Network</v>
      </c>
    </row>
    <row r="54">
      <c r="A54" s="13">
        <v>115.0</v>
      </c>
      <c r="B54" s="14" t="s">
        <v>23</v>
      </c>
      <c r="C54" s="14" t="s">
        <v>24</v>
      </c>
      <c r="D54" s="14" t="s">
        <v>23</v>
      </c>
      <c r="E54" s="15" t="s">
        <v>25</v>
      </c>
      <c r="F54" s="22">
        <v>0.597424316664714</v>
      </c>
      <c r="G54" s="22">
        <v>0.199141438995383</v>
      </c>
      <c r="H54" s="18">
        <v>27.4914963245392</v>
      </c>
      <c r="I54" s="14">
        <v>6.0</v>
      </c>
      <c r="J54" s="18">
        <v>164.948977947235</v>
      </c>
      <c r="K54" s="18">
        <v>1179.33608007431</v>
      </c>
      <c r="L54" s="18">
        <v>69.3727105926065</v>
      </c>
      <c r="M54" s="14">
        <v>17.0</v>
      </c>
      <c r="N54" s="14">
        <v>4.0</v>
      </c>
      <c r="O54" s="14" t="s">
        <v>25</v>
      </c>
      <c r="P54" s="14">
        <v>10.0</v>
      </c>
      <c r="Q54" s="14">
        <v>80.0</v>
      </c>
      <c r="R54" s="14">
        <v>4.0</v>
      </c>
      <c r="S54" s="12" t="str">
        <f t="shared" si="1"/>
        <v>geoverallgeVisual_Network</v>
      </c>
    </row>
    <row r="55" hidden="1">
      <c r="A55" s="13">
        <v>115.0</v>
      </c>
      <c r="B55" s="14" t="s">
        <v>23</v>
      </c>
      <c r="C55" s="14" t="s">
        <v>25</v>
      </c>
      <c r="D55" s="14" t="s">
        <v>23</v>
      </c>
      <c r="E55" s="24" t="s">
        <v>27</v>
      </c>
      <c r="F55" s="22">
        <v>2.24747261921371E-12</v>
      </c>
      <c r="G55" s="22">
        <v>2.20969575719475E-12</v>
      </c>
      <c r="H55" s="18">
        <v>23.2180409828822</v>
      </c>
      <c r="I55" s="24">
        <v>6.0</v>
      </c>
      <c r="J55" s="18">
        <v>139.308245897293</v>
      </c>
      <c r="K55" s="18">
        <v>99.6796851158142</v>
      </c>
      <c r="L55" s="18">
        <v>49.8398425579071</v>
      </c>
      <c r="M55" s="24">
        <v>2.0</v>
      </c>
      <c r="N55" s="14">
        <v>4.0</v>
      </c>
      <c r="O55" s="14" t="s">
        <v>25</v>
      </c>
      <c r="P55" s="14">
        <v>10.0</v>
      </c>
      <c r="Q55" s="14">
        <v>80.0</v>
      </c>
      <c r="R55" s="14">
        <v>4.0</v>
      </c>
      <c r="S55" s="12" t="str">
        <f t="shared" si="1"/>
        <v>geVisual_NetworkgeMultiple_Demand_Extended_Network</v>
      </c>
    </row>
    <row r="56" hidden="1">
      <c r="A56" s="13">
        <v>115.0</v>
      </c>
      <c r="B56" s="14" t="s">
        <v>23</v>
      </c>
      <c r="C56" s="14" t="s">
        <v>24</v>
      </c>
      <c r="D56" s="14" t="s">
        <v>26</v>
      </c>
      <c r="E56" s="24" t="s">
        <v>24</v>
      </c>
      <c r="F56" s="16"/>
      <c r="G56" s="16"/>
      <c r="H56" s="18">
        <v>22.5108753717863</v>
      </c>
      <c r="I56" s="24">
        <v>13.0</v>
      </c>
      <c r="J56" s="18">
        <v>292.641379833221</v>
      </c>
      <c r="K56" s="19"/>
      <c r="L56" s="19"/>
      <c r="M56" s="25"/>
      <c r="N56" s="20"/>
      <c r="O56" s="14" t="s">
        <v>25</v>
      </c>
      <c r="P56" s="14">
        <v>10.0</v>
      </c>
      <c r="Q56" s="14">
        <v>80.0</v>
      </c>
      <c r="R56" s="14">
        <v>4.0</v>
      </c>
      <c r="S56" s="12" t="str">
        <f t="shared" si="1"/>
        <v>geoverallmodularityoverall</v>
      </c>
    </row>
    <row r="57">
      <c r="A57" s="13">
        <v>116.0</v>
      </c>
      <c r="B57" s="14" t="s">
        <v>23</v>
      </c>
      <c r="C57" s="14" t="s">
        <v>24</v>
      </c>
      <c r="D57" s="14" t="s">
        <v>23</v>
      </c>
      <c r="E57" s="14" t="s">
        <v>25</v>
      </c>
      <c r="F57" s="22">
        <v>0.0334378967589117</v>
      </c>
      <c r="G57" s="22">
        <v>0.0127497017529777</v>
      </c>
      <c r="H57" s="18">
        <v>27.9749915599823</v>
      </c>
      <c r="I57" s="14">
        <v>11.0</v>
      </c>
      <c r="J57" s="18">
        <v>307.724907159805</v>
      </c>
      <c r="K57" s="18">
        <v>582.902956008911</v>
      </c>
      <c r="L57" s="18">
        <v>72.8628695011139</v>
      </c>
      <c r="M57" s="14">
        <v>8.0</v>
      </c>
      <c r="N57" s="14">
        <v>4.0</v>
      </c>
      <c r="O57" s="20"/>
      <c r="P57" s="14">
        <v>10.0</v>
      </c>
      <c r="Q57" s="14">
        <v>80.0</v>
      </c>
      <c r="R57" s="14">
        <v>4.0</v>
      </c>
      <c r="S57" s="12" t="str">
        <f t="shared" si="1"/>
        <v>geoverallgeVisual_Network</v>
      </c>
    </row>
    <row r="58" hidden="1">
      <c r="A58" s="13">
        <v>116.0</v>
      </c>
      <c r="B58" s="14" t="s">
        <v>23</v>
      </c>
      <c r="C58" s="14" t="s">
        <v>24</v>
      </c>
      <c r="D58" s="14" t="s">
        <v>26</v>
      </c>
      <c r="E58" s="14" t="s">
        <v>24</v>
      </c>
      <c r="F58" s="16"/>
      <c r="G58" s="16"/>
      <c r="H58" s="18">
        <v>27.1868660449982</v>
      </c>
      <c r="I58" s="14">
        <v>15.0</v>
      </c>
      <c r="J58" s="18">
        <v>407.802990674972</v>
      </c>
      <c r="K58" s="19"/>
      <c r="L58" s="19"/>
      <c r="M58" s="20"/>
      <c r="N58" s="20"/>
      <c r="O58" s="20"/>
      <c r="P58" s="14">
        <v>10.0</v>
      </c>
      <c r="Q58" s="14">
        <v>80.0</v>
      </c>
      <c r="R58" s="14">
        <v>4.0</v>
      </c>
      <c r="S58" s="12" t="str">
        <f t="shared" si="1"/>
        <v>geoverallmodularityoverall</v>
      </c>
    </row>
    <row r="59">
      <c r="A59" s="13">
        <v>116.0</v>
      </c>
      <c r="B59" s="14" t="s">
        <v>23</v>
      </c>
      <c r="C59" s="14" t="s">
        <v>24</v>
      </c>
      <c r="D59" s="14" t="s">
        <v>23</v>
      </c>
      <c r="E59" s="14" t="s">
        <v>27</v>
      </c>
      <c r="F59" s="22">
        <v>0.24420102373593</v>
      </c>
      <c r="G59" s="22">
        <v>0.109144975041144</v>
      </c>
      <c r="H59" s="18">
        <v>31.6825362954821</v>
      </c>
      <c r="I59" s="14">
        <v>14.0</v>
      </c>
      <c r="J59" s="18">
        <v>443.555508136749</v>
      </c>
      <c r="K59" s="18">
        <v>1068.78695893288</v>
      </c>
      <c r="L59" s="18">
        <v>76.3419256380626</v>
      </c>
      <c r="M59" s="14">
        <v>13.0</v>
      </c>
      <c r="N59" s="14">
        <v>4.0</v>
      </c>
      <c r="O59" s="20"/>
      <c r="P59" s="14">
        <v>10.0</v>
      </c>
      <c r="Q59" s="14">
        <v>80.0</v>
      </c>
      <c r="R59" s="14">
        <v>4.0</v>
      </c>
      <c r="S59" s="12" t="str">
        <f t="shared" si="1"/>
        <v>geoverallgeMultiple_Demand_Extended_Network</v>
      </c>
    </row>
    <row r="60">
      <c r="A60" s="13">
        <v>117.0</v>
      </c>
      <c r="B60" s="14" t="s">
        <v>23</v>
      </c>
      <c r="C60" s="14" t="s">
        <v>24</v>
      </c>
      <c r="D60" s="14" t="s">
        <v>23</v>
      </c>
      <c r="E60" s="14" t="s">
        <v>25</v>
      </c>
      <c r="F60" s="22">
        <v>0.00944197893542764</v>
      </c>
      <c r="G60" s="22">
        <v>0.00236049481162315</v>
      </c>
      <c r="H60" s="18">
        <v>28.4997459191542</v>
      </c>
      <c r="I60" s="14">
        <v>13.0</v>
      </c>
      <c r="J60" s="18">
        <v>370.496696949005</v>
      </c>
      <c r="K60" s="18">
        <v>225.236093044281</v>
      </c>
      <c r="L60" s="18">
        <v>75.078697681427</v>
      </c>
      <c r="M60" s="14">
        <v>3.0</v>
      </c>
      <c r="N60" s="14">
        <v>4.0</v>
      </c>
      <c r="O60" s="14" t="s">
        <v>27</v>
      </c>
      <c r="P60" s="14">
        <v>10.0</v>
      </c>
      <c r="Q60" s="14">
        <v>80.0</v>
      </c>
      <c r="R60" s="14">
        <v>4.0</v>
      </c>
      <c r="S60" s="12" t="str">
        <f t="shared" si="1"/>
        <v>geoverallgeVisual_Network</v>
      </c>
    </row>
    <row r="61" hidden="1">
      <c r="A61" s="13">
        <v>117.0</v>
      </c>
      <c r="B61" s="14" t="s">
        <v>23</v>
      </c>
      <c r="C61" s="14" t="s">
        <v>24</v>
      </c>
      <c r="D61" s="14" t="s">
        <v>26</v>
      </c>
      <c r="E61" s="14" t="s">
        <v>24</v>
      </c>
      <c r="F61" s="16"/>
      <c r="G61" s="16"/>
      <c r="H61" s="18">
        <v>29.4852632681529</v>
      </c>
      <c r="I61" s="14">
        <v>18.0</v>
      </c>
      <c r="J61" s="18">
        <v>530.734738826752</v>
      </c>
      <c r="K61" s="19"/>
      <c r="L61" s="19"/>
      <c r="M61" s="20"/>
      <c r="N61" s="20"/>
      <c r="O61" s="14" t="s">
        <v>27</v>
      </c>
      <c r="P61" s="14">
        <v>10.0</v>
      </c>
      <c r="Q61" s="14">
        <v>80.0</v>
      </c>
      <c r="R61" s="14">
        <v>4.0</v>
      </c>
      <c r="S61" s="12" t="str">
        <f t="shared" si="1"/>
        <v>geoverallmodularityoverall</v>
      </c>
    </row>
    <row r="62">
      <c r="A62" s="13">
        <v>117.0</v>
      </c>
      <c r="B62" s="14" t="s">
        <v>23</v>
      </c>
      <c r="C62" s="14" t="s">
        <v>24</v>
      </c>
      <c r="D62" s="14" t="s">
        <v>23</v>
      </c>
      <c r="E62" s="14" t="s">
        <v>27</v>
      </c>
      <c r="F62" s="22">
        <v>0.013914495527672</v>
      </c>
      <c r="G62" s="22">
        <v>0.00327156301421537</v>
      </c>
      <c r="H62" s="18">
        <v>33.3397627472878</v>
      </c>
      <c r="I62" s="14">
        <v>20.0</v>
      </c>
      <c r="J62" s="18">
        <v>666.795254945755</v>
      </c>
      <c r="K62" s="18">
        <v>2108.07427716255</v>
      </c>
      <c r="L62" s="18">
        <v>84.3229710865021</v>
      </c>
      <c r="M62" s="14">
        <v>25.0</v>
      </c>
      <c r="N62" s="14">
        <v>4.0</v>
      </c>
      <c r="O62" s="14" t="s">
        <v>27</v>
      </c>
      <c r="P62" s="14">
        <v>10.0</v>
      </c>
      <c r="Q62" s="14">
        <v>80.0</v>
      </c>
      <c r="R62" s="14">
        <v>4.0</v>
      </c>
      <c r="S62" s="12" t="str">
        <f t="shared" si="1"/>
        <v>geoverallgeMultiple_Demand_Extended_Network</v>
      </c>
    </row>
    <row r="63">
      <c r="A63" s="13">
        <v>118.0</v>
      </c>
      <c r="B63" s="14" t="s">
        <v>23</v>
      </c>
      <c r="C63" s="14" t="s">
        <v>24</v>
      </c>
      <c r="D63" s="14" t="s">
        <v>23</v>
      </c>
      <c r="E63" s="14" t="s">
        <v>25</v>
      </c>
      <c r="F63" s="22">
        <v>3.20054466673838</v>
      </c>
      <c r="G63" s="22">
        <v>0.924688150259041</v>
      </c>
      <c r="H63" s="18">
        <v>27.6698390007019</v>
      </c>
      <c r="I63" s="14">
        <v>10.0</v>
      </c>
      <c r="J63" s="18">
        <v>276.698390007019</v>
      </c>
      <c r="K63" s="18">
        <v>1289.92009997368</v>
      </c>
      <c r="L63" s="18">
        <v>107.493341664473</v>
      </c>
      <c r="M63" s="14">
        <v>12.0</v>
      </c>
      <c r="N63" s="14">
        <v>4.0</v>
      </c>
      <c r="O63" s="14" t="s">
        <v>25</v>
      </c>
      <c r="P63" s="14">
        <v>10.0</v>
      </c>
      <c r="Q63" s="14">
        <v>80.0</v>
      </c>
      <c r="R63" s="14">
        <v>4.0</v>
      </c>
      <c r="S63" s="12" t="str">
        <f t="shared" si="1"/>
        <v>geoverallgeVisual_Network</v>
      </c>
    </row>
    <row r="64" hidden="1">
      <c r="A64" s="13">
        <v>118.0</v>
      </c>
      <c r="B64" s="14" t="s">
        <v>23</v>
      </c>
      <c r="C64" s="14" t="s">
        <v>25</v>
      </c>
      <c r="D64" s="14" t="s">
        <v>23</v>
      </c>
      <c r="E64" s="14" t="s">
        <v>27</v>
      </c>
      <c r="F64" s="22">
        <v>0.738526463864929</v>
      </c>
      <c r="G64" s="22">
        <v>0.269483877500193</v>
      </c>
      <c r="H64" s="18">
        <v>27.3533092021942</v>
      </c>
      <c r="I64" s="14">
        <v>10.0</v>
      </c>
      <c r="J64" s="18">
        <v>273.533092021942</v>
      </c>
      <c r="K64" s="18">
        <v>765.033360242844</v>
      </c>
      <c r="L64" s="18">
        <v>95.6291700303555</v>
      </c>
      <c r="M64" s="14">
        <v>8.0</v>
      </c>
      <c r="N64" s="14">
        <v>4.0</v>
      </c>
      <c r="O64" s="14" t="s">
        <v>25</v>
      </c>
      <c r="P64" s="14">
        <v>10.0</v>
      </c>
      <c r="Q64" s="14">
        <v>80.0</v>
      </c>
      <c r="R64" s="14">
        <v>4.0</v>
      </c>
      <c r="S64" s="12" t="str">
        <f t="shared" si="1"/>
        <v>geVisual_NetworkgeMultiple_Demand_Extended_Network</v>
      </c>
    </row>
    <row r="65" hidden="1">
      <c r="A65" s="13">
        <v>118.0</v>
      </c>
      <c r="B65" s="14" t="s">
        <v>23</v>
      </c>
      <c r="C65" s="14" t="s">
        <v>24</v>
      </c>
      <c r="D65" s="14" t="s">
        <v>26</v>
      </c>
      <c r="E65" s="14" t="s">
        <v>24</v>
      </c>
      <c r="F65" s="16"/>
      <c r="G65" s="16"/>
      <c r="H65" s="18">
        <v>25.8410329442275</v>
      </c>
      <c r="I65" s="14">
        <v>19.0</v>
      </c>
      <c r="J65" s="18">
        <v>490.979625940323</v>
      </c>
      <c r="K65" s="19"/>
      <c r="L65" s="19"/>
      <c r="M65" s="20"/>
      <c r="N65" s="20"/>
      <c r="O65" s="14" t="s">
        <v>25</v>
      </c>
      <c r="P65" s="14">
        <v>10.0</v>
      </c>
      <c r="Q65" s="14">
        <v>80.0</v>
      </c>
      <c r="R65" s="14">
        <v>4.0</v>
      </c>
      <c r="S65" s="12" t="str">
        <f t="shared" si="1"/>
        <v>geoverallmodularityoverall</v>
      </c>
    </row>
    <row r="66">
      <c r="A66" s="4" t="s">
        <v>63</v>
      </c>
      <c r="F66" s="26">
        <f t="shared" ref="F66:M66" si="2">AVERAGE(F2:F65)</f>
        <v>0.1495177099</v>
      </c>
      <c r="G66" s="26">
        <f t="shared" si="2"/>
        <v>0.05675959127</v>
      </c>
      <c r="H66" s="27">
        <f t="shared" si="2"/>
        <v>24.59970692</v>
      </c>
      <c r="I66" s="12">
        <f t="shared" si="2"/>
        <v>9.984375</v>
      </c>
      <c r="J66" s="27">
        <f t="shared" si="2"/>
        <v>275.8951876</v>
      </c>
      <c r="K66" s="27">
        <f t="shared" si="2"/>
        <v>449.5937565</v>
      </c>
      <c r="L66" s="27">
        <f t="shared" si="2"/>
        <v>72.50016078</v>
      </c>
      <c r="M66" s="12">
        <f t="shared" si="2"/>
        <v>5.666666667</v>
      </c>
    </row>
    <row r="67">
      <c r="A67" s="4" t="s">
        <v>64</v>
      </c>
      <c r="F67" s="12">
        <f t="shared" ref="F67:M67" si="3">STDEV(F2:F65)</f>
        <v>0.5058485649</v>
      </c>
      <c r="G67" s="12">
        <f t="shared" si="3"/>
        <v>0.1529781925</v>
      </c>
      <c r="H67" s="12">
        <f t="shared" si="3"/>
        <v>5.205575757</v>
      </c>
      <c r="I67" s="12">
        <f t="shared" si="3"/>
        <v>7.749023876</v>
      </c>
      <c r="J67" s="12">
        <f t="shared" si="3"/>
        <v>267.1666952</v>
      </c>
      <c r="K67" s="12">
        <f t="shared" si="3"/>
        <v>486.5264645</v>
      </c>
      <c r="L67" s="12">
        <f t="shared" si="3"/>
        <v>16.07691119</v>
      </c>
      <c r="M67" s="12">
        <f t="shared" si="3"/>
        <v>5.642463857</v>
      </c>
    </row>
    <row r="72">
      <c r="E72" s="27">
        <f>SUM(K2:K64)</f>
        <v>18882.93777</v>
      </c>
      <c r="F72" s="12">
        <f>E72/42</f>
        <v>449.5937565</v>
      </c>
    </row>
  </sheetData>
  <autoFilter ref="$A$1:$R$67">
    <filterColumn colId="3">
      <filters blank="1">
        <filter val="ge"/>
      </filters>
    </filterColumn>
    <filterColumn colId="2">
      <filters blank="1">
        <filter val="overall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12</v>
      </c>
      <c r="I1" s="4" t="s">
        <v>13</v>
      </c>
      <c r="J1" s="4" t="s">
        <v>11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5</v>
      </c>
      <c r="P1" s="4" t="s">
        <v>18</v>
      </c>
      <c r="Q1" s="4" t="s">
        <v>19</v>
      </c>
      <c r="R1" s="4" t="s">
        <v>20</v>
      </c>
      <c r="S1" s="4" t="s">
        <v>6</v>
      </c>
      <c r="T1" s="4" t="s">
        <v>7</v>
      </c>
      <c r="U1" s="4" t="s">
        <v>65</v>
      </c>
    </row>
    <row r="2">
      <c r="A2" s="4">
        <v>94.0</v>
      </c>
      <c r="B2" s="4" t="s">
        <v>23</v>
      </c>
      <c r="C2" s="4" t="s">
        <v>24</v>
      </c>
      <c r="D2" s="4" t="s">
        <v>23</v>
      </c>
      <c r="E2" s="33" t="s">
        <v>25</v>
      </c>
      <c r="F2" s="34">
        <v>0.00344983097440377</v>
      </c>
      <c r="G2" s="34">
        <v>0.00115017844436747</v>
      </c>
      <c r="H2" s="35">
        <v>25.510665546764</v>
      </c>
      <c r="I2" s="4">
        <v>11.0</v>
      </c>
      <c r="J2" s="35">
        <v>280.617321014404</v>
      </c>
      <c r="K2" s="35">
        <v>1204.03717303276</v>
      </c>
      <c r="L2" s="35">
        <v>75.2523233145475</v>
      </c>
      <c r="M2" s="4">
        <v>16.0</v>
      </c>
      <c r="N2" s="4">
        <v>4.0</v>
      </c>
      <c r="O2" s="4" t="s">
        <v>25</v>
      </c>
      <c r="P2" s="4">
        <v>10.0</v>
      </c>
      <c r="Q2" s="4">
        <v>80.0</v>
      </c>
      <c r="R2" s="4">
        <v>4.0</v>
      </c>
      <c r="S2" s="34">
        <v>0.00344983097440377</v>
      </c>
      <c r="T2" s="34">
        <v>0.00115017844436747</v>
      </c>
      <c r="U2" s="9">
        <v>4.19348903861815</v>
      </c>
    </row>
    <row r="3">
      <c r="A3" s="4">
        <v>95.0</v>
      </c>
      <c r="B3" s="4" t="s">
        <v>23</v>
      </c>
      <c r="C3" s="4" t="s">
        <v>24</v>
      </c>
      <c r="D3" s="4" t="s">
        <v>23</v>
      </c>
      <c r="E3" s="33" t="s">
        <v>25</v>
      </c>
      <c r="F3" s="34">
        <v>2.14607077582284E-10</v>
      </c>
      <c r="G3" s="34">
        <v>2.04128426480271E-10</v>
      </c>
      <c r="H3" s="35">
        <v>21.1596811771393</v>
      </c>
      <c r="I3" s="4">
        <v>5.0</v>
      </c>
      <c r="J3" s="35">
        <v>105.798405885696</v>
      </c>
      <c r="K3" s="35">
        <v>471.654345035553</v>
      </c>
      <c r="L3" s="35">
        <v>67.3791921479361</v>
      </c>
      <c r="M3" s="4">
        <v>7.0</v>
      </c>
      <c r="N3" s="4">
        <v>4.0</v>
      </c>
      <c r="O3" s="36"/>
      <c r="P3" s="4">
        <v>10.0</v>
      </c>
      <c r="Q3" s="4">
        <v>80.0</v>
      </c>
      <c r="R3" s="4">
        <v>4.0</v>
      </c>
      <c r="S3" s="34">
        <v>2.14607077582284E-10</v>
      </c>
      <c r="T3" s="34">
        <v>2.04128426480271E-10</v>
      </c>
      <c r="U3" s="23">
        <v>3.1347849157462</v>
      </c>
    </row>
    <row r="4">
      <c r="A4" s="4">
        <v>95.0</v>
      </c>
      <c r="B4" s="4" t="s">
        <v>23</v>
      </c>
      <c r="C4" s="4" t="s">
        <v>24</v>
      </c>
      <c r="D4" s="4" t="s">
        <v>23</v>
      </c>
      <c r="E4" s="33" t="s">
        <v>27</v>
      </c>
      <c r="F4" s="34">
        <v>0.0231078073465341</v>
      </c>
      <c r="G4" s="34">
        <v>0.00770260258775814</v>
      </c>
      <c r="H4" s="35">
        <v>22.0552423511233</v>
      </c>
      <c r="I4" s="4">
        <v>14.0</v>
      </c>
      <c r="J4" s="35">
        <v>308.773392915726</v>
      </c>
      <c r="K4" s="35">
        <v>316.2737159729</v>
      </c>
      <c r="L4" s="35">
        <v>79.0684289932251</v>
      </c>
      <c r="M4" s="4">
        <v>4.0</v>
      </c>
      <c r="N4" s="4">
        <v>4.0</v>
      </c>
      <c r="O4" s="36"/>
      <c r="P4" s="4">
        <v>10.0</v>
      </c>
      <c r="Q4" s="4">
        <v>80.0</v>
      </c>
      <c r="R4" s="4">
        <v>4.0</v>
      </c>
      <c r="S4" s="34">
        <v>0.0231078073465341</v>
      </c>
      <c r="T4" s="34">
        <v>0.00770260258775814</v>
      </c>
      <c r="U4" s="23">
        <v>4.11110173918019</v>
      </c>
    </row>
    <row r="5">
      <c r="A5" s="4">
        <v>96.0</v>
      </c>
      <c r="B5" s="4" t="s">
        <v>23</v>
      </c>
      <c r="C5" s="4" t="s">
        <v>24</v>
      </c>
      <c r="D5" s="4" t="s">
        <v>23</v>
      </c>
      <c r="E5" s="33" t="s">
        <v>25</v>
      </c>
      <c r="F5" s="34">
        <v>0.0213990498610457</v>
      </c>
      <c r="G5" s="34">
        <v>0.0213990498610457</v>
      </c>
      <c r="H5" s="35">
        <v>22.4869877696037</v>
      </c>
      <c r="I5" s="4">
        <v>4.0</v>
      </c>
      <c r="J5" s="35">
        <v>89.9479510784149</v>
      </c>
      <c r="K5" s="35">
        <v>79.4513938426971</v>
      </c>
      <c r="L5" s="35">
        <v>79.4513938426971</v>
      </c>
      <c r="M5" s="4">
        <v>1.0</v>
      </c>
      <c r="N5" s="4">
        <v>4.0</v>
      </c>
      <c r="O5" s="4" t="s">
        <v>25</v>
      </c>
      <c r="P5" s="4">
        <v>10.0</v>
      </c>
      <c r="Q5" s="4">
        <v>80.0</v>
      </c>
      <c r="R5" s="4">
        <v>4.0</v>
      </c>
      <c r="S5" s="34">
        <v>0.0213990498610457</v>
      </c>
      <c r="T5" s="34">
        <v>0.0213990498610457</v>
      </c>
      <c r="U5" s="23">
        <v>0.0</v>
      </c>
    </row>
    <row r="6">
      <c r="A6" s="4">
        <v>98.0</v>
      </c>
      <c r="B6" s="4" t="s">
        <v>23</v>
      </c>
      <c r="C6" s="4" t="s">
        <v>24</v>
      </c>
      <c r="D6" s="4" t="s">
        <v>23</v>
      </c>
      <c r="E6" s="33" t="s">
        <v>25</v>
      </c>
      <c r="F6" s="34">
        <v>0.0177216085738507</v>
      </c>
      <c r="G6" s="34">
        <v>0.00590720295539106</v>
      </c>
      <c r="H6" s="35">
        <v>15.2121393680572</v>
      </c>
      <c r="I6" s="4">
        <v>2.0</v>
      </c>
      <c r="J6" s="35">
        <v>30.4242787361145</v>
      </c>
      <c r="K6" s="35">
        <v>138.436563014984</v>
      </c>
      <c r="L6" s="35">
        <v>69.2182815074921</v>
      </c>
      <c r="M6" s="4">
        <v>2.0</v>
      </c>
      <c r="N6" s="4">
        <v>4.0</v>
      </c>
      <c r="O6" s="4" t="s">
        <v>25</v>
      </c>
      <c r="P6" s="4">
        <v>10.0</v>
      </c>
      <c r="Q6" s="4">
        <v>80.0</v>
      </c>
      <c r="R6" s="4">
        <v>4.0</v>
      </c>
      <c r="S6" s="34">
        <v>0.0177216085738507</v>
      </c>
      <c r="T6" s="34">
        <v>0.00590720295539106</v>
      </c>
      <c r="U6" s="23">
        <v>5.37616231626088</v>
      </c>
    </row>
    <row r="7">
      <c r="A7" s="4">
        <v>99.0</v>
      </c>
      <c r="B7" s="4" t="s">
        <v>23</v>
      </c>
      <c r="C7" s="4" t="s">
        <v>24</v>
      </c>
      <c r="D7" s="4" t="s">
        <v>23</v>
      </c>
      <c r="E7" s="33" t="s">
        <v>25</v>
      </c>
      <c r="F7" s="34">
        <v>1.20795149012364E-10</v>
      </c>
      <c r="G7" s="34">
        <v>1.18243627662033E-10</v>
      </c>
      <c r="H7" s="35">
        <v>26.4586252825601</v>
      </c>
      <c r="I7" s="4">
        <v>7.0</v>
      </c>
      <c r="J7" s="35">
        <v>185.210376977921</v>
      </c>
      <c r="K7" s="35">
        <v>246.864217042923</v>
      </c>
      <c r="L7" s="35">
        <v>82.288072347641</v>
      </c>
      <c r="M7" s="4">
        <v>3.0</v>
      </c>
      <c r="N7" s="4">
        <v>4.0</v>
      </c>
      <c r="O7" s="36"/>
      <c r="P7" s="4">
        <v>10.0</v>
      </c>
      <c r="Q7" s="4">
        <v>80.0</v>
      </c>
      <c r="R7" s="4">
        <v>4.0</v>
      </c>
      <c r="S7" s="34">
        <v>1.20795149012364E-10</v>
      </c>
      <c r="T7" s="34">
        <v>1.18243627662033E-10</v>
      </c>
      <c r="U7" s="23">
        <v>4.08489110127273</v>
      </c>
    </row>
    <row r="8">
      <c r="A8" s="4">
        <v>99.0</v>
      </c>
      <c r="B8" s="4" t="s">
        <v>23</v>
      </c>
      <c r="C8" s="4" t="s">
        <v>24</v>
      </c>
      <c r="D8" s="4" t="s">
        <v>23</v>
      </c>
      <c r="E8" s="33" t="s">
        <v>27</v>
      </c>
      <c r="F8" s="34">
        <v>0.11090014766819</v>
      </c>
      <c r="G8" s="34">
        <v>0.0369667159671692</v>
      </c>
      <c r="H8" s="35">
        <v>29.3895074129105</v>
      </c>
      <c r="I8" s="4">
        <v>10.0</v>
      </c>
      <c r="J8" s="35">
        <v>293.895074129105</v>
      </c>
      <c r="K8" s="35">
        <v>553.139830112457</v>
      </c>
      <c r="L8" s="35">
        <v>92.1899716854095</v>
      </c>
      <c r="M8" s="4">
        <v>6.0</v>
      </c>
      <c r="N8" s="4">
        <v>4.0</v>
      </c>
      <c r="O8" s="36"/>
      <c r="P8" s="4">
        <v>10.0</v>
      </c>
      <c r="Q8" s="4">
        <v>80.0</v>
      </c>
      <c r="R8" s="4">
        <v>4.0</v>
      </c>
      <c r="S8" s="34">
        <v>0.11090014766819</v>
      </c>
      <c r="T8" s="34">
        <v>0.0369667159671692</v>
      </c>
      <c r="U8" s="23">
        <v>3.90016823668486</v>
      </c>
    </row>
    <row r="9">
      <c r="A9" s="4">
        <v>100.0</v>
      </c>
      <c r="B9" s="4" t="s">
        <v>23</v>
      </c>
      <c r="C9" s="4" t="s">
        <v>24</v>
      </c>
      <c r="D9" s="4" t="s">
        <v>23</v>
      </c>
      <c r="E9" s="33" t="s">
        <v>25</v>
      </c>
      <c r="F9" s="34">
        <v>2.15043349129198E-10</v>
      </c>
      <c r="G9" s="34">
        <v>2.15043349129198E-10</v>
      </c>
      <c r="H9" s="35">
        <v>23.4889587879181</v>
      </c>
      <c r="I9" s="4">
        <v>5.0</v>
      </c>
      <c r="J9" s="35">
        <v>117.44479393959</v>
      </c>
      <c r="K9" s="35">
        <v>83.5185189247131</v>
      </c>
      <c r="L9" s="35">
        <v>83.5185189247131</v>
      </c>
      <c r="M9" s="4">
        <v>1.0</v>
      </c>
      <c r="N9" s="4">
        <v>4.0</v>
      </c>
      <c r="O9" s="4" t="s">
        <v>25</v>
      </c>
      <c r="P9" s="4">
        <v>10.0</v>
      </c>
      <c r="Q9" s="4">
        <v>80.0</v>
      </c>
      <c r="R9" s="4">
        <v>4.0</v>
      </c>
      <c r="S9" s="34">
        <v>2.15043349129198E-10</v>
      </c>
      <c r="T9" s="34">
        <v>2.15043349129198E-10</v>
      </c>
      <c r="U9" s="23">
        <v>0.0</v>
      </c>
    </row>
    <row r="10">
      <c r="A10" s="4">
        <v>102.0</v>
      </c>
      <c r="B10" s="4" t="s">
        <v>23</v>
      </c>
      <c r="C10" s="4" t="s">
        <v>24</v>
      </c>
      <c r="D10" s="4" t="s">
        <v>23</v>
      </c>
      <c r="E10" s="33" t="s">
        <v>25</v>
      </c>
      <c r="F10" s="34">
        <v>1.67140650415392E-10</v>
      </c>
      <c r="G10" s="34">
        <v>1.67140650415392E-10</v>
      </c>
      <c r="H10" s="35">
        <v>21.3423063755035</v>
      </c>
      <c r="I10" s="4">
        <v>3.0</v>
      </c>
      <c r="J10" s="35">
        <v>64.0269191265106</v>
      </c>
      <c r="K10" s="35">
        <v>79.1825969219208</v>
      </c>
      <c r="L10" s="35">
        <v>79.1825969219208</v>
      </c>
      <c r="M10" s="4">
        <v>1.0</v>
      </c>
      <c r="N10" s="4">
        <v>4.0</v>
      </c>
      <c r="O10" s="36"/>
      <c r="P10" s="4">
        <v>10.0</v>
      </c>
      <c r="Q10" s="4">
        <v>80.0</v>
      </c>
      <c r="R10" s="4">
        <v>4.0</v>
      </c>
      <c r="S10" s="34">
        <v>1.67140650415392E-10</v>
      </c>
      <c r="T10" s="34">
        <v>1.67140650415392E-10</v>
      </c>
      <c r="U10" s="23">
        <v>0.0</v>
      </c>
    </row>
    <row r="11">
      <c r="A11" s="4">
        <v>102.0</v>
      </c>
      <c r="B11" s="4" t="s">
        <v>23</v>
      </c>
      <c r="C11" s="4" t="s">
        <v>24</v>
      </c>
      <c r="D11" s="4" t="s">
        <v>23</v>
      </c>
      <c r="E11" s="33" t="s">
        <v>27</v>
      </c>
      <c r="F11" s="34">
        <v>0.0407131586792815</v>
      </c>
      <c r="G11" s="34">
        <v>0.020356579423217</v>
      </c>
      <c r="H11" s="35">
        <v>25.7055553595225</v>
      </c>
      <c r="I11" s="4">
        <v>6.0</v>
      </c>
      <c r="J11" s="35">
        <v>154.233332157135</v>
      </c>
      <c r="K11" s="35">
        <v>454.354659080505</v>
      </c>
      <c r="L11" s="35">
        <v>75.7257765134176</v>
      </c>
      <c r="M11" s="4">
        <v>6.0</v>
      </c>
      <c r="N11" s="4">
        <v>4.0</v>
      </c>
      <c r="O11" s="36"/>
      <c r="P11" s="4">
        <v>10.0</v>
      </c>
      <c r="Q11" s="4">
        <v>80.0</v>
      </c>
      <c r="R11" s="4">
        <v>4.0</v>
      </c>
      <c r="S11" s="34">
        <v>0.0407131586792815</v>
      </c>
      <c r="T11" s="34">
        <v>0.020356579423217</v>
      </c>
      <c r="U11" s="23">
        <v>0.774899333388007</v>
      </c>
    </row>
    <row r="12">
      <c r="A12" s="4">
        <v>103.0</v>
      </c>
      <c r="B12" s="4" t="s">
        <v>23</v>
      </c>
      <c r="C12" s="4" t="s">
        <v>24</v>
      </c>
      <c r="D12" s="4" t="s">
        <v>23</v>
      </c>
      <c r="E12" s="33" t="s">
        <v>25</v>
      </c>
      <c r="F12" s="34">
        <v>1.70708074892755E-10</v>
      </c>
      <c r="G12" s="34">
        <v>1.70708074892755E-10</v>
      </c>
      <c r="H12" s="35">
        <v>22.9837276935577</v>
      </c>
      <c r="I12" s="4">
        <v>6.0</v>
      </c>
      <c r="J12" s="35">
        <v>137.902366161346</v>
      </c>
      <c r="K12" s="35">
        <v>69.7822909355164</v>
      </c>
      <c r="L12" s="35">
        <v>69.7822909355164</v>
      </c>
      <c r="M12" s="4">
        <v>1.0</v>
      </c>
      <c r="N12" s="4">
        <v>4.0</v>
      </c>
      <c r="O12" s="4" t="s">
        <v>27</v>
      </c>
      <c r="P12" s="4">
        <v>10.0</v>
      </c>
      <c r="Q12" s="4">
        <v>80.0</v>
      </c>
      <c r="R12" s="4">
        <v>4.0</v>
      </c>
      <c r="S12" s="34">
        <v>1.70708074892755E-10</v>
      </c>
      <c r="T12" s="34">
        <v>1.70708074892755E-10</v>
      </c>
      <c r="U12" s="23">
        <v>0.0</v>
      </c>
    </row>
    <row r="13">
      <c r="A13" s="4">
        <v>103.0</v>
      </c>
      <c r="B13" s="4" t="s">
        <v>23</v>
      </c>
      <c r="C13" s="4" t="s">
        <v>24</v>
      </c>
      <c r="D13" s="4" t="s">
        <v>23</v>
      </c>
      <c r="E13" s="33" t="s">
        <v>27</v>
      </c>
      <c r="F13" s="34">
        <v>0.0352740645115972</v>
      </c>
      <c r="G13" s="34">
        <v>0.0176370323402002</v>
      </c>
      <c r="H13" s="35">
        <v>21.0396170020103</v>
      </c>
      <c r="I13" s="4">
        <v>4.0</v>
      </c>
      <c r="J13" s="35">
        <v>84.1584680080414</v>
      </c>
      <c r="K13" s="35">
        <v>304.67852807045</v>
      </c>
      <c r="L13" s="35">
        <v>76.1696320176125</v>
      </c>
      <c r="M13" s="4">
        <v>4.0</v>
      </c>
      <c r="N13" s="4">
        <v>4.0</v>
      </c>
      <c r="O13" s="4" t="s">
        <v>27</v>
      </c>
      <c r="P13" s="4">
        <v>10.0</v>
      </c>
      <c r="Q13" s="4">
        <v>80.0</v>
      </c>
      <c r="R13" s="4">
        <v>4.0</v>
      </c>
      <c r="S13" s="34">
        <v>0.0352740645115972</v>
      </c>
      <c r="T13" s="34">
        <v>0.0176370323402002</v>
      </c>
      <c r="U13" s="23">
        <v>4.95173017301476</v>
      </c>
    </row>
    <row r="14">
      <c r="A14" s="4">
        <v>104.0</v>
      </c>
      <c r="B14" s="4" t="s">
        <v>23</v>
      </c>
      <c r="C14" s="4" t="s">
        <v>24</v>
      </c>
      <c r="D14" s="4" t="s">
        <v>23</v>
      </c>
      <c r="E14" s="33" t="s">
        <v>25</v>
      </c>
      <c r="F14" s="34">
        <v>1.56206336236025E-10</v>
      </c>
      <c r="G14" s="34">
        <v>1.56206336236025E-10</v>
      </c>
      <c r="H14" s="35">
        <v>17.1788376172384</v>
      </c>
      <c r="I14" s="4">
        <v>3.0</v>
      </c>
      <c r="J14" s="35">
        <v>51.5365128517151</v>
      </c>
      <c r="K14" s="35">
        <v>70.2086741924286</v>
      </c>
      <c r="L14" s="35">
        <v>70.2086741924286</v>
      </c>
      <c r="M14" s="4">
        <v>1.0</v>
      </c>
      <c r="N14" s="4">
        <v>4.0</v>
      </c>
      <c r="O14" s="4" t="s">
        <v>25</v>
      </c>
      <c r="P14" s="4">
        <v>10.0</v>
      </c>
      <c r="Q14" s="4">
        <v>80.0</v>
      </c>
      <c r="R14" s="4">
        <v>4.0</v>
      </c>
      <c r="S14" s="34">
        <v>1.56206336236025E-10</v>
      </c>
      <c r="T14" s="34">
        <v>1.56206336236025E-10</v>
      </c>
      <c r="U14" s="23">
        <v>0.0</v>
      </c>
    </row>
    <row r="15">
      <c r="A15" s="4">
        <v>105.0</v>
      </c>
      <c r="B15" s="4" t="s">
        <v>23</v>
      </c>
      <c r="C15" s="4" t="s">
        <v>24</v>
      </c>
      <c r="D15" s="4" t="s">
        <v>23</v>
      </c>
      <c r="E15" s="33" t="s">
        <v>25</v>
      </c>
      <c r="F15" s="34">
        <v>0.0110271529344885</v>
      </c>
      <c r="G15" s="34">
        <v>0.00367571772272346</v>
      </c>
      <c r="H15" s="35">
        <v>23.3129046758016</v>
      </c>
      <c r="I15" s="4">
        <v>3.0</v>
      </c>
      <c r="J15" s="35">
        <v>69.9387140274048</v>
      </c>
      <c r="K15" s="35">
        <v>129.013830900192</v>
      </c>
      <c r="L15" s="35">
        <v>64.5069154500961</v>
      </c>
      <c r="M15" s="4">
        <v>2.0</v>
      </c>
      <c r="N15" s="4">
        <v>4.0</v>
      </c>
      <c r="O15" s="36"/>
      <c r="P15" s="4">
        <v>10.0</v>
      </c>
      <c r="Q15" s="4">
        <v>80.0</v>
      </c>
      <c r="R15" s="4">
        <v>4.0</v>
      </c>
      <c r="S15" s="34">
        <v>0.0110271529344885</v>
      </c>
      <c r="T15" s="34">
        <v>0.00367571772272346</v>
      </c>
      <c r="U15" s="23">
        <v>3.2427916175577</v>
      </c>
    </row>
    <row r="16">
      <c r="A16" s="4">
        <v>107.0</v>
      </c>
      <c r="B16" s="4" t="s">
        <v>23</v>
      </c>
      <c r="C16" s="4" t="s">
        <v>24</v>
      </c>
      <c r="D16" s="4" t="s">
        <v>23</v>
      </c>
      <c r="E16" s="33" t="s">
        <v>25</v>
      </c>
      <c r="F16" s="34">
        <v>0.21568763044814</v>
      </c>
      <c r="G16" s="34">
        <v>0.0539219077427275</v>
      </c>
      <c r="H16" s="35">
        <v>23.4869212309519</v>
      </c>
      <c r="I16" s="4">
        <v>9.0</v>
      </c>
      <c r="J16" s="35">
        <v>211.382291078568</v>
      </c>
      <c r="K16" s="35">
        <v>1001.05353021622</v>
      </c>
      <c r="L16" s="35">
        <v>100.105353021622</v>
      </c>
      <c r="M16" s="4">
        <v>10.0</v>
      </c>
      <c r="N16" s="4">
        <v>4.0</v>
      </c>
      <c r="O16" s="4" t="s">
        <v>25</v>
      </c>
      <c r="P16" s="4">
        <v>10.0</v>
      </c>
      <c r="Q16" s="4">
        <v>80.0</v>
      </c>
      <c r="R16" s="4">
        <v>4.0</v>
      </c>
      <c r="S16" s="34">
        <v>0.21568763044814</v>
      </c>
      <c r="T16" s="34">
        <v>0.0539219077427275</v>
      </c>
      <c r="U16" s="23">
        <v>6.22331209610477</v>
      </c>
    </row>
    <row r="17">
      <c r="A17" s="4">
        <v>108.0</v>
      </c>
      <c r="B17" s="4" t="s">
        <v>23</v>
      </c>
      <c r="C17" s="4" t="s">
        <v>24</v>
      </c>
      <c r="D17" s="4" t="s">
        <v>23</v>
      </c>
      <c r="E17" s="33" t="s">
        <v>25</v>
      </c>
      <c r="F17" s="34">
        <v>1.12820835678416E-10</v>
      </c>
      <c r="G17" s="34">
        <v>1.12806496003716E-10</v>
      </c>
      <c r="H17" s="35">
        <v>24.977681239446</v>
      </c>
      <c r="I17" s="4">
        <v>9.0</v>
      </c>
      <c r="J17" s="35">
        <v>224.799131155014</v>
      </c>
      <c r="K17" s="35">
        <v>71.1789801120758</v>
      </c>
      <c r="L17" s="35">
        <v>71.1789801120758</v>
      </c>
      <c r="M17" s="4">
        <v>1.0</v>
      </c>
      <c r="N17" s="4">
        <v>4.0</v>
      </c>
      <c r="O17" s="36"/>
      <c r="P17" s="4">
        <v>10.0</v>
      </c>
      <c r="Q17" s="4">
        <v>80.0</v>
      </c>
      <c r="R17" s="4">
        <v>4.0</v>
      </c>
      <c r="S17" s="34">
        <v>1.12820835678416E-10</v>
      </c>
      <c r="T17" s="34">
        <v>1.12806496003716E-10</v>
      </c>
      <c r="U17" s="23">
        <v>3.77178738783627</v>
      </c>
    </row>
    <row r="18">
      <c r="A18" s="4">
        <v>108.0</v>
      </c>
      <c r="B18" s="4" t="s">
        <v>23</v>
      </c>
      <c r="C18" s="4" t="s">
        <v>24</v>
      </c>
      <c r="D18" s="4" t="s">
        <v>23</v>
      </c>
      <c r="E18" s="33" t="s">
        <v>27</v>
      </c>
      <c r="F18" s="34">
        <v>1.12831002374819E-10</v>
      </c>
      <c r="G18" s="34">
        <v>1.12831002374819E-10</v>
      </c>
      <c r="H18" s="35">
        <v>16.9069230556488</v>
      </c>
      <c r="I18" s="4">
        <v>2.0</v>
      </c>
      <c r="J18" s="35">
        <v>33.8138461112976</v>
      </c>
      <c r="K18" s="35">
        <v>70.1131479740143</v>
      </c>
      <c r="L18" s="35">
        <v>70.1131479740143</v>
      </c>
      <c r="M18" s="4">
        <v>1.0</v>
      </c>
      <c r="N18" s="4">
        <v>4.0</v>
      </c>
      <c r="O18" s="36"/>
      <c r="P18" s="4">
        <v>10.0</v>
      </c>
      <c r="Q18" s="4">
        <v>80.0</v>
      </c>
      <c r="R18" s="4">
        <v>4.0</v>
      </c>
      <c r="S18" s="34">
        <v>1.12831002374819E-10</v>
      </c>
      <c r="T18" s="34">
        <v>1.12831002374819E-10</v>
      </c>
      <c r="U18" s="23">
        <v>0.0</v>
      </c>
    </row>
    <row r="19">
      <c r="A19" s="4">
        <v>109.0</v>
      </c>
      <c r="B19" s="4" t="s">
        <v>23</v>
      </c>
      <c r="C19" s="4" t="s">
        <v>24</v>
      </c>
      <c r="D19" s="4" t="s">
        <v>23</v>
      </c>
      <c r="E19" s="33" t="s">
        <v>25</v>
      </c>
      <c r="F19" s="34">
        <v>0.0350272643249667</v>
      </c>
      <c r="G19" s="34">
        <v>0.0136480107483652</v>
      </c>
      <c r="H19" s="35">
        <v>26.6015949249268</v>
      </c>
      <c r="I19" s="4">
        <v>13.0</v>
      </c>
      <c r="J19" s="35">
        <v>345.820734024048</v>
      </c>
      <c r="K19" s="35">
        <v>1667.44662904739</v>
      </c>
      <c r="L19" s="35">
        <v>92.6359238359663</v>
      </c>
      <c r="M19" s="4">
        <v>18.0</v>
      </c>
      <c r="N19" s="4">
        <v>4.0</v>
      </c>
      <c r="O19" s="4" t="s">
        <v>27</v>
      </c>
      <c r="P19" s="4">
        <v>10.0</v>
      </c>
      <c r="Q19" s="4">
        <v>80.0</v>
      </c>
      <c r="R19" s="4">
        <v>4.0</v>
      </c>
      <c r="S19" s="34">
        <v>0.0350272643249667</v>
      </c>
      <c r="T19" s="34">
        <v>0.0136480107483652</v>
      </c>
      <c r="U19" s="23">
        <v>9.95965990665474</v>
      </c>
    </row>
    <row r="20">
      <c r="A20" s="4">
        <v>110.0</v>
      </c>
      <c r="B20" s="4" t="s">
        <v>23</v>
      </c>
      <c r="C20" s="4" t="s">
        <v>24</v>
      </c>
      <c r="D20" s="4" t="s">
        <v>23</v>
      </c>
      <c r="E20" s="33" t="s">
        <v>25</v>
      </c>
      <c r="F20" s="34">
        <v>0.113008854336641</v>
      </c>
      <c r="G20" s="34">
        <v>0.0713960912956585</v>
      </c>
      <c r="H20" s="35">
        <v>19.1734900474548</v>
      </c>
      <c r="I20" s="4">
        <v>2.0</v>
      </c>
      <c r="J20" s="35">
        <v>38.3469800949097</v>
      </c>
      <c r="K20" s="35">
        <v>521.668030977249</v>
      </c>
      <c r="L20" s="35">
        <v>65.2085038721561</v>
      </c>
      <c r="M20" s="4">
        <v>8.0</v>
      </c>
      <c r="N20" s="4">
        <v>4.0</v>
      </c>
      <c r="O20" s="36"/>
      <c r="P20" s="4">
        <v>10.0</v>
      </c>
      <c r="Q20" s="4">
        <v>80.0</v>
      </c>
      <c r="R20" s="4">
        <v>4.0</v>
      </c>
      <c r="S20" s="34">
        <v>0.113008854336641</v>
      </c>
      <c r="T20" s="34">
        <v>0.0713960912956585</v>
      </c>
      <c r="U20" s="23">
        <v>3.17451604170751</v>
      </c>
    </row>
    <row r="21">
      <c r="A21" s="4">
        <v>110.0</v>
      </c>
      <c r="B21" s="4" t="s">
        <v>23</v>
      </c>
      <c r="C21" s="4" t="s">
        <v>24</v>
      </c>
      <c r="D21" s="4" t="s">
        <v>23</v>
      </c>
      <c r="E21" s="33" t="s">
        <v>27</v>
      </c>
      <c r="F21" s="34">
        <v>1.26790787578461E-10</v>
      </c>
      <c r="G21" s="34">
        <v>1.25729511268894E-10</v>
      </c>
      <c r="H21" s="35">
        <v>25.1236121313913</v>
      </c>
      <c r="I21" s="4">
        <v>7.0</v>
      </c>
      <c r="J21" s="35">
        <v>175.865284919739</v>
      </c>
      <c r="K21" s="35">
        <v>387.674911022186</v>
      </c>
      <c r="L21" s="35">
        <v>96.9187277555466</v>
      </c>
      <c r="M21" s="4">
        <v>4.0</v>
      </c>
      <c r="N21" s="4">
        <v>4.0</v>
      </c>
      <c r="O21" s="36"/>
      <c r="P21" s="4">
        <v>10.0</v>
      </c>
      <c r="Q21" s="4">
        <v>80.0</v>
      </c>
      <c r="R21" s="4">
        <v>4.0</v>
      </c>
      <c r="S21" s="34">
        <v>1.26790787578461E-10</v>
      </c>
      <c r="T21" s="34">
        <v>1.25729511268894E-10</v>
      </c>
      <c r="U21" s="23">
        <v>3.45563542098179</v>
      </c>
    </row>
    <row r="22">
      <c r="A22" s="4">
        <v>111.0</v>
      </c>
      <c r="B22" s="4" t="s">
        <v>23</v>
      </c>
      <c r="C22" s="4" t="s">
        <v>24</v>
      </c>
      <c r="D22" s="4" t="s">
        <v>23</v>
      </c>
      <c r="E22" s="33" t="s">
        <v>25</v>
      </c>
      <c r="F22" s="34">
        <v>0.00616344492277676</v>
      </c>
      <c r="G22" s="34">
        <v>0.00284466694058489</v>
      </c>
      <c r="H22" s="35">
        <v>29.7100750749761</v>
      </c>
      <c r="I22" s="4">
        <v>11.0</v>
      </c>
      <c r="J22" s="35">
        <v>326.810825824737</v>
      </c>
      <c r="K22" s="35">
        <v>888.700551986694</v>
      </c>
      <c r="L22" s="35">
        <v>74.0583793322245</v>
      </c>
      <c r="M22" s="4">
        <v>12.0</v>
      </c>
      <c r="N22" s="4">
        <v>4.0</v>
      </c>
      <c r="O22" s="4" t="s">
        <v>27</v>
      </c>
      <c r="P22" s="4">
        <v>10.0</v>
      </c>
      <c r="Q22" s="4">
        <v>80.0</v>
      </c>
      <c r="R22" s="4">
        <v>4.0</v>
      </c>
      <c r="S22" s="34">
        <v>0.00616344492277676</v>
      </c>
      <c r="T22" s="34">
        <v>0.00284466694058489</v>
      </c>
      <c r="U22" s="23">
        <v>7.44960301843532</v>
      </c>
    </row>
    <row r="23">
      <c r="A23" s="4">
        <v>111.0</v>
      </c>
      <c r="B23" s="4" t="s">
        <v>23</v>
      </c>
      <c r="C23" s="4" t="s">
        <v>24</v>
      </c>
      <c r="D23" s="4" t="s">
        <v>23</v>
      </c>
      <c r="E23" s="33" t="s">
        <v>27</v>
      </c>
      <c r="F23" s="34">
        <v>0.00521522260255836</v>
      </c>
      <c r="G23" s="34">
        <v>0.00521522260255836</v>
      </c>
      <c r="H23" s="35">
        <v>27.071624994278</v>
      </c>
      <c r="I23" s="4">
        <v>6.0</v>
      </c>
      <c r="J23" s="35">
        <v>162.429749965668</v>
      </c>
      <c r="K23" s="35">
        <v>713.949486970901</v>
      </c>
      <c r="L23" s="35">
        <v>79.3277207745446</v>
      </c>
      <c r="M23" s="4">
        <v>9.0</v>
      </c>
      <c r="N23" s="4">
        <v>4.0</v>
      </c>
      <c r="O23" s="4" t="s">
        <v>27</v>
      </c>
      <c r="P23" s="4">
        <v>10.0</v>
      </c>
      <c r="Q23" s="4">
        <v>80.0</v>
      </c>
      <c r="R23" s="4">
        <v>4.0</v>
      </c>
      <c r="S23" s="34">
        <v>0.00521522260255836</v>
      </c>
      <c r="T23" s="34">
        <v>0.00521522260255836</v>
      </c>
      <c r="U23" s="23">
        <v>0.0</v>
      </c>
    </row>
    <row r="24">
      <c r="A24" s="4">
        <v>112.0</v>
      </c>
      <c r="B24" s="4" t="s">
        <v>23</v>
      </c>
      <c r="C24" s="4" t="s">
        <v>24</v>
      </c>
      <c r="D24" s="4" t="s">
        <v>23</v>
      </c>
      <c r="E24" s="33" t="s">
        <v>25</v>
      </c>
      <c r="F24" s="34">
        <v>0.0438944907266148</v>
      </c>
      <c r="G24" s="34">
        <v>0.0355449951579251</v>
      </c>
      <c r="H24" s="35">
        <v>15.7314835786819</v>
      </c>
      <c r="I24" s="4">
        <v>2.0</v>
      </c>
      <c r="J24" s="35">
        <v>31.4629671573639</v>
      </c>
      <c r="K24" s="35">
        <v>223.088999032974</v>
      </c>
      <c r="L24" s="35">
        <v>74.3629996776581</v>
      </c>
      <c r="M24" s="4">
        <v>3.0</v>
      </c>
      <c r="N24" s="4">
        <v>4.0</v>
      </c>
      <c r="O24" s="4" t="s">
        <v>25</v>
      </c>
      <c r="P24" s="4">
        <v>10.0</v>
      </c>
      <c r="Q24" s="4">
        <v>80.0</v>
      </c>
      <c r="R24" s="4">
        <v>4.0</v>
      </c>
      <c r="S24" s="34">
        <v>0.0438944907266148</v>
      </c>
      <c r="T24" s="34">
        <v>0.0355449951579251</v>
      </c>
      <c r="U24" s="23">
        <v>4.92589792666283</v>
      </c>
    </row>
    <row r="25">
      <c r="A25" s="4">
        <v>113.0</v>
      </c>
      <c r="B25" s="4" t="s">
        <v>23</v>
      </c>
      <c r="C25" s="4" t="s">
        <v>24</v>
      </c>
      <c r="D25" s="4" t="s">
        <v>23</v>
      </c>
      <c r="E25" s="33" t="s">
        <v>25</v>
      </c>
      <c r="F25" s="34">
        <v>0.0391547528441549</v>
      </c>
      <c r="G25" s="34">
        <v>0.0142080538677805</v>
      </c>
      <c r="H25" s="35">
        <v>20.0346989631653</v>
      </c>
      <c r="I25" s="4">
        <v>4.0</v>
      </c>
      <c r="J25" s="35">
        <v>80.1387958526611</v>
      </c>
      <c r="K25" s="35">
        <v>375.80708694458</v>
      </c>
      <c r="L25" s="35">
        <v>75.161417388916</v>
      </c>
      <c r="M25" s="4">
        <v>5.0</v>
      </c>
      <c r="N25" s="4">
        <v>4.0</v>
      </c>
      <c r="O25" s="36"/>
      <c r="P25" s="4">
        <v>10.0</v>
      </c>
      <c r="Q25" s="4">
        <v>80.0</v>
      </c>
      <c r="R25" s="4">
        <v>4.0</v>
      </c>
      <c r="S25" s="34">
        <v>0.0391547528441549</v>
      </c>
      <c r="T25" s="34">
        <v>0.0142080538677805</v>
      </c>
      <c r="U25" s="23">
        <v>4.09423374415582</v>
      </c>
    </row>
    <row r="26">
      <c r="A26" s="4">
        <v>113.0</v>
      </c>
      <c r="B26" s="4" t="s">
        <v>23</v>
      </c>
      <c r="C26" s="4" t="s">
        <v>24</v>
      </c>
      <c r="D26" s="4" t="s">
        <v>23</v>
      </c>
      <c r="E26" s="33" t="s">
        <v>27</v>
      </c>
      <c r="F26" s="34">
        <v>0.0188339316618453</v>
      </c>
      <c r="G26" s="34">
        <v>0.0188339316618453</v>
      </c>
      <c r="H26" s="35">
        <v>16.6569050550461</v>
      </c>
      <c r="I26" s="4">
        <v>2.0</v>
      </c>
      <c r="J26" s="35">
        <v>33.3138101100922</v>
      </c>
      <c r="K26" s="35">
        <v>69.8182759284973</v>
      </c>
      <c r="L26" s="35">
        <v>69.8182759284973</v>
      </c>
      <c r="M26" s="4">
        <v>1.0</v>
      </c>
      <c r="N26" s="4">
        <v>4.0</v>
      </c>
      <c r="O26" s="36"/>
      <c r="P26" s="4">
        <v>10.0</v>
      </c>
      <c r="Q26" s="4">
        <v>80.0</v>
      </c>
      <c r="R26" s="4">
        <v>4.0</v>
      </c>
      <c r="S26" s="34">
        <v>0.0188339316618453</v>
      </c>
      <c r="T26" s="34">
        <v>0.0188339316618453</v>
      </c>
      <c r="U26" s="23">
        <v>0.0</v>
      </c>
    </row>
    <row r="27">
      <c r="A27" s="4">
        <v>114.0</v>
      </c>
      <c r="B27" s="4" t="s">
        <v>23</v>
      </c>
      <c r="C27" s="4" t="s">
        <v>24</v>
      </c>
      <c r="D27" s="4" t="s">
        <v>23</v>
      </c>
      <c r="E27" s="33" t="s">
        <v>25</v>
      </c>
      <c r="F27" s="34">
        <v>0.140306405328417</v>
      </c>
      <c r="G27" s="34">
        <v>0.0935376036092897</v>
      </c>
      <c r="H27" s="35">
        <v>18.594206015269</v>
      </c>
      <c r="I27" s="4">
        <v>3.0</v>
      </c>
      <c r="J27" s="35">
        <v>55.7826180458069</v>
      </c>
      <c r="K27" s="35">
        <v>330.051393032074</v>
      </c>
      <c r="L27" s="35">
        <v>66.0102786064148</v>
      </c>
      <c r="M27" s="4">
        <v>5.0</v>
      </c>
      <c r="N27" s="4">
        <v>4.0</v>
      </c>
      <c r="O27" s="4" t="s">
        <v>27</v>
      </c>
      <c r="P27" s="4">
        <v>10.0</v>
      </c>
      <c r="Q27" s="4">
        <v>80.0</v>
      </c>
      <c r="R27" s="4">
        <v>4.0</v>
      </c>
      <c r="S27" s="34">
        <v>0.140306405328417</v>
      </c>
      <c r="T27" s="34">
        <v>0.0935376036092897</v>
      </c>
      <c r="U27" s="23">
        <v>3.014358626007</v>
      </c>
    </row>
    <row r="28">
      <c r="A28" s="4">
        <v>114.0</v>
      </c>
      <c r="B28" s="4" t="s">
        <v>23</v>
      </c>
      <c r="C28" s="4" t="s">
        <v>24</v>
      </c>
      <c r="D28" s="4" t="s">
        <v>23</v>
      </c>
      <c r="E28" s="33" t="s">
        <v>27</v>
      </c>
      <c r="F28" s="34">
        <v>1.89820363471069E-10</v>
      </c>
      <c r="G28" s="34">
        <v>1.89820363471069E-10</v>
      </c>
      <c r="H28" s="35">
        <v>18.8995156685511</v>
      </c>
      <c r="I28" s="4">
        <v>6.0</v>
      </c>
      <c r="J28" s="35">
        <v>113.397094011307</v>
      </c>
      <c r="K28" s="35">
        <v>67.8391470909119</v>
      </c>
      <c r="L28" s="35">
        <v>67.8391470909119</v>
      </c>
      <c r="M28" s="4">
        <v>1.0</v>
      </c>
      <c r="N28" s="4">
        <v>4.0</v>
      </c>
      <c r="O28" s="4" t="s">
        <v>27</v>
      </c>
      <c r="P28" s="4">
        <v>10.0</v>
      </c>
      <c r="Q28" s="4">
        <v>80.0</v>
      </c>
      <c r="R28" s="4">
        <v>4.0</v>
      </c>
      <c r="S28" s="34">
        <v>1.89820363471069E-10</v>
      </c>
      <c r="T28" s="34">
        <v>1.89820363471069E-10</v>
      </c>
      <c r="U28" s="23">
        <v>0.0</v>
      </c>
    </row>
    <row r="29">
      <c r="A29" s="4">
        <v>115.0</v>
      </c>
      <c r="B29" s="4" t="s">
        <v>23</v>
      </c>
      <c r="C29" s="4" t="s">
        <v>24</v>
      </c>
      <c r="D29" s="4" t="s">
        <v>23</v>
      </c>
      <c r="E29" s="33" t="s">
        <v>25</v>
      </c>
      <c r="F29" s="34">
        <v>0.597424316664714</v>
      </c>
      <c r="G29" s="34">
        <v>0.199141438995383</v>
      </c>
      <c r="H29" s="35">
        <v>27.4914963245392</v>
      </c>
      <c r="I29" s="4">
        <v>6.0</v>
      </c>
      <c r="J29" s="35">
        <v>164.948977947235</v>
      </c>
      <c r="K29" s="35">
        <v>1179.33608007431</v>
      </c>
      <c r="L29" s="35">
        <v>69.3727105926065</v>
      </c>
      <c r="M29" s="4">
        <v>17.0</v>
      </c>
      <c r="N29" s="4">
        <v>4.0</v>
      </c>
      <c r="O29" s="4" t="s">
        <v>25</v>
      </c>
      <c r="P29" s="4">
        <v>10.0</v>
      </c>
      <c r="Q29" s="4">
        <v>80.0</v>
      </c>
      <c r="R29" s="4">
        <v>4.0</v>
      </c>
      <c r="S29" s="34">
        <v>0.597424316664714</v>
      </c>
      <c r="T29" s="34">
        <v>0.199141438995383</v>
      </c>
      <c r="U29" s="23">
        <v>5.27211956075563</v>
      </c>
    </row>
    <row r="30">
      <c r="A30" s="4">
        <v>116.0</v>
      </c>
      <c r="B30" s="4" t="s">
        <v>23</v>
      </c>
      <c r="C30" s="4" t="s">
        <v>24</v>
      </c>
      <c r="D30" s="4" t="s">
        <v>23</v>
      </c>
      <c r="E30" s="4" t="s">
        <v>25</v>
      </c>
      <c r="F30" s="34">
        <v>0.0334378967589117</v>
      </c>
      <c r="G30" s="34">
        <v>0.0127497017529777</v>
      </c>
      <c r="H30" s="35">
        <v>27.9749915599823</v>
      </c>
      <c r="I30" s="4">
        <v>11.0</v>
      </c>
      <c r="J30" s="35">
        <v>307.724907159805</v>
      </c>
      <c r="K30" s="35">
        <v>582.902956008911</v>
      </c>
      <c r="L30" s="35">
        <v>72.8628695011139</v>
      </c>
      <c r="M30" s="4">
        <v>8.0</v>
      </c>
      <c r="N30" s="4">
        <v>4.0</v>
      </c>
      <c r="P30" s="4">
        <v>10.0</v>
      </c>
      <c r="Q30" s="4">
        <v>80.0</v>
      </c>
      <c r="R30" s="4">
        <v>4.0</v>
      </c>
      <c r="S30" s="34">
        <v>0.0334378967589117</v>
      </c>
      <c r="T30" s="34">
        <v>0.0127497017529777</v>
      </c>
      <c r="U30" s="23">
        <v>7.14187547876329</v>
      </c>
    </row>
    <row r="31">
      <c r="A31" s="4">
        <v>116.0</v>
      </c>
      <c r="B31" s="4" t="s">
        <v>23</v>
      </c>
      <c r="C31" s="4" t="s">
        <v>24</v>
      </c>
      <c r="D31" s="4" t="s">
        <v>23</v>
      </c>
      <c r="E31" s="4" t="s">
        <v>27</v>
      </c>
      <c r="F31" s="34">
        <v>0.24420102373593</v>
      </c>
      <c r="G31" s="34">
        <v>0.109144975041144</v>
      </c>
      <c r="H31" s="35">
        <v>31.6825362954821</v>
      </c>
      <c r="I31" s="4">
        <v>14.0</v>
      </c>
      <c r="J31" s="35">
        <v>443.555508136749</v>
      </c>
      <c r="K31" s="35">
        <v>1068.78695893288</v>
      </c>
      <c r="L31" s="35">
        <v>76.3419256380626</v>
      </c>
      <c r="M31" s="4">
        <v>13.0</v>
      </c>
      <c r="N31" s="4">
        <v>4.0</v>
      </c>
      <c r="P31" s="4">
        <v>10.0</v>
      </c>
      <c r="Q31" s="4">
        <v>80.0</v>
      </c>
      <c r="R31" s="4">
        <v>4.0</v>
      </c>
      <c r="S31" s="34">
        <v>0.24420102373593</v>
      </c>
      <c r="T31" s="34">
        <v>0.109144975041144</v>
      </c>
      <c r="U31" s="23">
        <v>3.54309802646484</v>
      </c>
    </row>
    <row r="32">
      <c r="A32" s="4">
        <v>117.0</v>
      </c>
      <c r="B32" s="4" t="s">
        <v>23</v>
      </c>
      <c r="C32" s="4" t="s">
        <v>24</v>
      </c>
      <c r="D32" s="4" t="s">
        <v>23</v>
      </c>
      <c r="E32" s="4" t="s">
        <v>25</v>
      </c>
      <c r="F32" s="34">
        <v>0.00944197893542764</v>
      </c>
      <c r="G32" s="34">
        <v>0.00236049481162315</v>
      </c>
      <c r="H32" s="35">
        <v>28.4997459191542</v>
      </c>
      <c r="I32" s="4">
        <v>13.0</v>
      </c>
      <c r="J32" s="35">
        <v>370.496696949005</v>
      </c>
      <c r="K32" s="35">
        <v>225.236093044281</v>
      </c>
      <c r="L32" s="35">
        <v>75.078697681427</v>
      </c>
      <c r="M32" s="4">
        <v>3.0</v>
      </c>
      <c r="N32" s="4">
        <v>4.0</v>
      </c>
      <c r="O32" s="4" t="s">
        <v>27</v>
      </c>
      <c r="P32" s="4">
        <v>10.0</v>
      </c>
      <c r="Q32" s="4">
        <v>80.0</v>
      </c>
      <c r="R32" s="4">
        <v>4.0</v>
      </c>
      <c r="S32" s="34">
        <v>0.00944197893542764</v>
      </c>
      <c r="T32" s="34">
        <v>0.00236049481162315</v>
      </c>
      <c r="U32" s="23">
        <v>0.81735595862571</v>
      </c>
    </row>
    <row r="33">
      <c r="A33" s="4">
        <v>117.0</v>
      </c>
      <c r="B33" s="4" t="s">
        <v>23</v>
      </c>
      <c r="C33" s="4" t="s">
        <v>24</v>
      </c>
      <c r="D33" s="4" t="s">
        <v>23</v>
      </c>
      <c r="E33" s="4" t="s">
        <v>27</v>
      </c>
      <c r="F33" s="34">
        <v>0.013914495527672</v>
      </c>
      <c r="G33" s="34">
        <v>0.00327156301421537</v>
      </c>
      <c r="H33" s="35">
        <v>33.3397627472878</v>
      </c>
      <c r="I33" s="4">
        <v>20.0</v>
      </c>
      <c r="J33" s="35">
        <v>666.795254945755</v>
      </c>
      <c r="K33" s="35">
        <v>2108.07427716255</v>
      </c>
      <c r="L33" s="35">
        <v>84.3229710865021</v>
      </c>
      <c r="M33" s="4">
        <v>25.0</v>
      </c>
      <c r="N33" s="4">
        <v>4.0</v>
      </c>
      <c r="O33" s="4" t="s">
        <v>27</v>
      </c>
      <c r="P33" s="4">
        <v>10.0</v>
      </c>
      <c r="Q33" s="4">
        <v>80.0</v>
      </c>
      <c r="R33" s="4">
        <v>4.0</v>
      </c>
      <c r="S33" s="34">
        <v>0.013914495527672</v>
      </c>
      <c r="T33" s="34">
        <v>0.00327156301421537</v>
      </c>
      <c r="U33" s="23">
        <v>11.7406243042787</v>
      </c>
    </row>
    <row r="34">
      <c r="A34" s="4">
        <v>118.0</v>
      </c>
      <c r="B34" s="4" t="s">
        <v>23</v>
      </c>
      <c r="C34" s="4" t="s">
        <v>24</v>
      </c>
      <c r="D34" s="4" t="s">
        <v>23</v>
      </c>
      <c r="E34" s="4" t="s">
        <v>25</v>
      </c>
      <c r="F34" s="34">
        <v>3.20054466673838</v>
      </c>
      <c r="G34" s="34">
        <v>0.924688150259041</v>
      </c>
      <c r="H34" s="35">
        <v>27.6698390007019</v>
      </c>
      <c r="I34" s="4">
        <v>10.0</v>
      </c>
      <c r="J34" s="35">
        <v>276.698390007019</v>
      </c>
      <c r="K34" s="35">
        <v>1289.92009997368</v>
      </c>
      <c r="L34" s="35">
        <v>107.493341664473</v>
      </c>
      <c r="M34" s="4">
        <v>12.0</v>
      </c>
      <c r="N34" s="4">
        <v>4.0</v>
      </c>
      <c r="O34" s="4" t="s">
        <v>25</v>
      </c>
      <c r="P34" s="4">
        <v>10.0</v>
      </c>
      <c r="Q34" s="4">
        <v>80.0</v>
      </c>
      <c r="R34" s="4">
        <v>4.0</v>
      </c>
      <c r="S34" s="34">
        <v>3.20054466673838</v>
      </c>
      <c r="T34" s="34">
        <v>0.924688150259041</v>
      </c>
      <c r="U34" s="23">
        <v>13.7026593440977</v>
      </c>
    </row>
    <row r="35">
      <c r="E35" s="33"/>
      <c r="F35" s="34"/>
      <c r="G35" s="34"/>
      <c r="H35" s="35"/>
      <c r="J35" s="35">
        <f t="shared" ref="J35:K35" si="1">AVERAGE(J2:J34)</f>
        <v>182.9542961</v>
      </c>
      <c r="K35" s="35">
        <f t="shared" si="1"/>
        <v>516.4619083</v>
      </c>
      <c r="L35" s="35"/>
      <c r="S35" s="26">
        <f t="shared" ref="S35:U35" si="2">AVERAGE(S2:S34)</f>
        <v>0.1509045211</v>
      </c>
      <c r="T35" s="26">
        <f t="shared" si="2"/>
        <v>0.05076672389</v>
      </c>
      <c r="U35" s="10">
        <f t="shared" si="2"/>
        <v>3.698689555</v>
      </c>
    </row>
    <row r="36">
      <c r="E36" s="33"/>
      <c r="F36" s="34"/>
      <c r="G36" s="34"/>
      <c r="H36" s="35"/>
      <c r="J36" s="35"/>
      <c r="K36" s="35"/>
      <c r="L36" s="35"/>
    </row>
    <row r="37">
      <c r="E37" s="37"/>
      <c r="F37" s="34"/>
      <c r="G37" s="34"/>
      <c r="H37" s="35"/>
      <c r="I37" s="37"/>
      <c r="J37" s="35"/>
      <c r="K37" s="35"/>
      <c r="L37" s="35"/>
      <c r="M37" s="37"/>
    </row>
    <row r="38">
      <c r="F38" s="34"/>
      <c r="G38" s="34"/>
      <c r="H38" s="35"/>
      <c r="J38" s="35"/>
      <c r="K38" s="35"/>
      <c r="L38" s="35"/>
    </row>
    <row r="39">
      <c r="F39" s="34"/>
      <c r="G39" s="34"/>
      <c r="H39" s="35"/>
      <c r="J39" s="35"/>
      <c r="K39" s="35"/>
      <c r="L39" s="35"/>
    </row>
    <row r="40">
      <c r="F40" s="34"/>
      <c r="G40" s="34"/>
      <c r="H40" s="35"/>
      <c r="J40" s="35"/>
      <c r="K40" s="35"/>
      <c r="L40" s="35"/>
    </row>
    <row r="41">
      <c r="F41" s="34"/>
      <c r="G41" s="34"/>
      <c r="H41" s="35"/>
      <c r="J41" s="35"/>
      <c r="K41" s="35"/>
      <c r="L41" s="35"/>
    </row>
    <row r="42">
      <c r="F42" s="34"/>
      <c r="G42" s="34"/>
      <c r="H42" s="35"/>
      <c r="J42" s="35"/>
      <c r="K42" s="35"/>
      <c r="L42" s="35"/>
    </row>
    <row r="43">
      <c r="F43" s="34"/>
      <c r="G43" s="34"/>
      <c r="H43" s="35"/>
      <c r="J43" s="35"/>
      <c r="K43" s="35"/>
      <c r="L43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6" max="6" width="29.0"/>
    <col customWidth="1" min="20" max="20" width="14.38"/>
    <col customWidth="1" min="22" max="22" width="29.0"/>
  </cols>
  <sheetData>
    <row r="1">
      <c r="A1" s="4" t="s">
        <v>0</v>
      </c>
      <c r="B1" s="4" t="s">
        <v>66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12</v>
      </c>
      <c r="H1" s="4" t="s">
        <v>13</v>
      </c>
      <c r="I1" s="4" t="s">
        <v>11</v>
      </c>
      <c r="J1" s="4" t="s">
        <v>14</v>
      </c>
      <c r="K1" s="4" t="s">
        <v>15</v>
      </c>
      <c r="L1" s="4" t="s">
        <v>16</v>
      </c>
      <c r="M1" s="4" t="s">
        <v>6</v>
      </c>
      <c r="N1" s="4" t="s">
        <v>7</v>
      </c>
      <c r="O1" s="4" t="s">
        <v>65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67</v>
      </c>
      <c r="U1" s="4" t="s">
        <v>10</v>
      </c>
      <c r="V1" s="38" t="s">
        <v>5</v>
      </c>
    </row>
    <row r="2">
      <c r="A2" s="4">
        <v>94.0</v>
      </c>
      <c r="B2" s="4">
        <v>1.0</v>
      </c>
      <c r="C2" s="4" t="s">
        <v>23</v>
      </c>
      <c r="D2" s="4" t="s">
        <v>24</v>
      </c>
      <c r="E2" s="4" t="s">
        <v>23</v>
      </c>
      <c r="F2" s="33" t="s">
        <v>25</v>
      </c>
      <c r="G2" s="35">
        <v>25.510665546764</v>
      </c>
      <c r="H2" s="4">
        <v>11.0</v>
      </c>
      <c r="I2" s="35">
        <v>280.617321014404</v>
      </c>
      <c r="J2" s="35">
        <v>1204.03717303276</v>
      </c>
      <c r="K2" s="35">
        <v>75.2523233145475</v>
      </c>
      <c r="L2" s="4">
        <v>16.0</v>
      </c>
      <c r="M2" s="34">
        <v>0.00344983097440377</v>
      </c>
      <c r="N2" s="34">
        <v>0.00115017844436747</v>
      </c>
      <c r="O2" s="9">
        <v>4.19348903861815</v>
      </c>
      <c r="P2" s="4">
        <v>4.0</v>
      </c>
      <c r="Q2" s="4">
        <v>10.0</v>
      </c>
      <c r="R2" s="4">
        <v>80.0</v>
      </c>
      <c r="S2" s="4">
        <v>4.0</v>
      </c>
      <c r="T2" s="12">
        <f t="shared" ref="T2:T4" si="1">M2/O2</f>
        <v>0.0008226636442</v>
      </c>
      <c r="U2" s="12">
        <f t="shared" ref="U2:U4" si="2">N2/O2</f>
        <v>0.000274277203</v>
      </c>
      <c r="V2" s="4" t="s">
        <v>25</v>
      </c>
    </row>
    <row r="3">
      <c r="A3" s="4">
        <v>95.0</v>
      </c>
      <c r="B3" s="4">
        <v>2.0</v>
      </c>
      <c r="C3" s="4" t="s">
        <v>23</v>
      </c>
      <c r="D3" s="4" t="s">
        <v>24</v>
      </c>
      <c r="E3" s="4" t="s">
        <v>23</v>
      </c>
      <c r="F3" s="33" t="s">
        <v>25</v>
      </c>
      <c r="G3" s="35">
        <v>21.1596811771393</v>
      </c>
      <c r="H3" s="4">
        <v>5.0</v>
      </c>
      <c r="I3" s="35">
        <v>105.798405885696</v>
      </c>
      <c r="J3" s="35">
        <v>471.654345035553</v>
      </c>
      <c r="K3" s="35">
        <v>67.3791921479361</v>
      </c>
      <c r="L3" s="4">
        <v>7.0</v>
      </c>
      <c r="M3" s="39">
        <v>2.14607077582284E-10</v>
      </c>
      <c r="N3" s="39">
        <v>2.04128426480271E-10</v>
      </c>
      <c r="O3" s="23">
        <v>3.1347849157462</v>
      </c>
      <c r="P3" s="4">
        <v>4.0</v>
      </c>
      <c r="Q3" s="4">
        <v>10.0</v>
      </c>
      <c r="R3" s="4">
        <v>80.0</v>
      </c>
      <c r="S3" s="4">
        <v>4.0</v>
      </c>
      <c r="T3" s="12">
        <f t="shared" si="1"/>
        <v>0</v>
      </c>
      <c r="U3" s="12">
        <f t="shared" si="2"/>
        <v>0</v>
      </c>
    </row>
    <row r="4">
      <c r="A4" s="4">
        <v>95.0</v>
      </c>
      <c r="B4" s="4">
        <v>2.0</v>
      </c>
      <c r="C4" s="4" t="s">
        <v>23</v>
      </c>
      <c r="D4" s="4" t="s">
        <v>24</v>
      </c>
      <c r="E4" s="4" t="s">
        <v>23</v>
      </c>
      <c r="F4" s="33" t="s">
        <v>27</v>
      </c>
      <c r="G4" s="35">
        <v>22.0552423511233</v>
      </c>
      <c r="H4" s="4">
        <v>14.0</v>
      </c>
      <c r="I4" s="35">
        <v>308.773392915726</v>
      </c>
      <c r="J4" s="35">
        <v>316.2737159729</v>
      </c>
      <c r="K4" s="35">
        <v>79.0684289932251</v>
      </c>
      <c r="L4" s="4">
        <v>4.0</v>
      </c>
      <c r="M4" s="34">
        <v>0.0231078073465341</v>
      </c>
      <c r="N4" s="34">
        <v>0.00770260258775814</v>
      </c>
      <c r="O4" s="23">
        <v>4.11110173918019</v>
      </c>
      <c r="P4" s="4">
        <v>4.0</v>
      </c>
      <c r="Q4" s="4">
        <v>10.0</v>
      </c>
      <c r="R4" s="4">
        <v>80.0</v>
      </c>
      <c r="S4" s="4">
        <v>4.0</v>
      </c>
      <c r="T4" s="12">
        <f t="shared" si="1"/>
        <v>0.005620830817</v>
      </c>
      <c r="U4" s="12">
        <f t="shared" si="2"/>
        <v>0.001873610306</v>
      </c>
    </row>
    <row r="5">
      <c r="A5" s="4">
        <v>96.0</v>
      </c>
      <c r="B5" s="4">
        <v>3.0</v>
      </c>
      <c r="C5" s="4" t="s">
        <v>23</v>
      </c>
      <c r="D5" s="4" t="s">
        <v>24</v>
      </c>
      <c r="E5" s="4" t="s">
        <v>23</v>
      </c>
      <c r="F5" s="33" t="s">
        <v>25</v>
      </c>
      <c r="G5" s="35">
        <v>22.4869877696037</v>
      </c>
      <c r="H5" s="4">
        <v>4.0</v>
      </c>
      <c r="I5" s="35">
        <v>89.9479510784149</v>
      </c>
      <c r="J5" s="35">
        <v>79.4513938426971</v>
      </c>
      <c r="K5" s="35">
        <v>79.4513938426971</v>
      </c>
      <c r="L5" s="4">
        <v>1.0</v>
      </c>
      <c r="M5" s="34">
        <v>0.0213990498610457</v>
      </c>
      <c r="N5" s="34">
        <v>0.0213990498610457</v>
      </c>
      <c r="O5" s="40">
        <v>0.0</v>
      </c>
      <c r="P5" s="4">
        <v>4.0</v>
      </c>
      <c r="Q5" s="4">
        <v>10.0</v>
      </c>
      <c r="R5" s="4">
        <v>80.0</v>
      </c>
      <c r="S5" s="4">
        <v>4.0</v>
      </c>
      <c r="V5" s="4" t="s">
        <v>25</v>
      </c>
    </row>
    <row r="6">
      <c r="A6" s="4">
        <v>98.0</v>
      </c>
      <c r="B6" s="4">
        <v>4.0</v>
      </c>
      <c r="C6" s="4" t="s">
        <v>23</v>
      </c>
      <c r="D6" s="4" t="s">
        <v>24</v>
      </c>
      <c r="E6" s="4" t="s">
        <v>23</v>
      </c>
      <c r="F6" s="33" t="s">
        <v>25</v>
      </c>
      <c r="G6" s="35">
        <v>15.2121393680572</v>
      </c>
      <c r="H6" s="4">
        <v>2.0</v>
      </c>
      <c r="I6" s="35">
        <v>30.4242787361145</v>
      </c>
      <c r="J6" s="35">
        <v>138.436563014984</v>
      </c>
      <c r="K6" s="35">
        <v>69.2182815074921</v>
      </c>
      <c r="L6" s="4">
        <v>2.0</v>
      </c>
      <c r="M6" s="34">
        <v>0.0177216085738507</v>
      </c>
      <c r="N6" s="34">
        <v>0.00590720295539106</v>
      </c>
      <c r="O6" s="23">
        <v>5.37616231626088</v>
      </c>
      <c r="P6" s="4">
        <v>4.0</v>
      </c>
      <c r="Q6" s="4">
        <v>10.0</v>
      </c>
      <c r="R6" s="4">
        <v>80.0</v>
      </c>
      <c r="S6" s="4">
        <v>4.0</v>
      </c>
      <c r="T6" s="12">
        <f t="shared" ref="T6:T8" si="3">M6/O6</f>
        <v>0.003296330641</v>
      </c>
      <c r="U6" s="12">
        <f t="shared" ref="U6:U8" si="4">N6/O6</f>
        <v>0.001098776898</v>
      </c>
      <c r="V6" s="4" t="s">
        <v>25</v>
      </c>
    </row>
    <row r="7">
      <c r="A7" s="4">
        <v>99.0</v>
      </c>
      <c r="B7" s="4">
        <v>5.0</v>
      </c>
      <c r="C7" s="4" t="s">
        <v>23</v>
      </c>
      <c r="D7" s="4" t="s">
        <v>24</v>
      </c>
      <c r="E7" s="4" t="s">
        <v>23</v>
      </c>
      <c r="F7" s="33" t="s">
        <v>25</v>
      </c>
      <c r="G7" s="35">
        <v>26.4586252825601</v>
      </c>
      <c r="H7" s="4">
        <v>7.0</v>
      </c>
      <c r="I7" s="35">
        <v>185.210376977921</v>
      </c>
      <c r="J7" s="35">
        <v>246.864217042923</v>
      </c>
      <c r="K7" s="35">
        <v>82.288072347641</v>
      </c>
      <c r="L7" s="4">
        <v>3.0</v>
      </c>
      <c r="M7" s="39">
        <v>1.20795149012364E-10</v>
      </c>
      <c r="N7" s="39">
        <v>1.18243627662033E-10</v>
      </c>
      <c r="O7" s="23">
        <v>4.08489110127273</v>
      </c>
      <c r="P7" s="4">
        <v>4.0</v>
      </c>
      <c r="Q7" s="4">
        <v>10.0</v>
      </c>
      <c r="R7" s="4">
        <v>80.0</v>
      </c>
      <c r="S7" s="4">
        <v>4.0</v>
      </c>
      <c r="T7" s="12">
        <f t="shared" si="3"/>
        <v>0</v>
      </c>
      <c r="U7" s="12">
        <f t="shared" si="4"/>
        <v>0</v>
      </c>
      <c r="V7" s="36"/>
    </row>
    <row r="8">
      <c r="A8" s="4">
        <v>99.0</v>
      </c>
      <c r="B8" s="4">
        <v>5.0</v>
      </c>
      <c r="C8" s="4" t="s">
        <v>23</v>
      </c>
      <c r="D8" s="4" t="s">
        <v>24</v>
      </c>
      <c r="E8" s="4" t="s">
        <v>23</v>
      </c>
      <c r="F8" s="33" t="s">
        <v>27</v>
      </c>
      <c r="G8" s="35">
        <v>29.3895074129105</v>
      </c>
      <c r="H8" s="4">
        <v>10.0</v>
      </c>
      <c r="I8" s="35">
        <v>293.895074129105</v>
      </c>
      <c r="J8" s="35">
        <v>553.139830112457</v>
      </c>
      <c r="K8" s="35">
        <v>92.1899716854095</v>
      </c>
      <c r="L8" s="4">
        <v>6.0</v>
      </c>
      <c r="M8" s="34">
        <v>0.11090014766819</v>
      </c>
      <c r="N8" s="34">
        <v>0.0369667159671692</v>
      </c>
      <c r="O8" s="23">
        <v>3.90016823668486</v>
      </c>
      <c r="P8" s="4">
        <v>4.0</v>
      </c>
      <c r="Q8" s="4">
        <v>10.0</v>
      </c>
      <c r="R8" s="4">
        <v>80.0</v>
      </c>
      <c r="S8" s="4">
        <v>4.0</v>
      </c>
      <c r="T8" s="12">
        <f t="shared" si="3"/>
        <v>0.02843470869</v>
      </c>
      <c r="U8" s="12">
        <f t="shared" si="4"/>
        <v>0.009478236251</v>
      </c>
      <c r="V8" s="36"/>
    </row>
    <row r="9">
      <c r="A9" s="4">
        <v>100.0</v>
      </c>
      <c r="B9" s="4">
        <v>6.0</v>
      </c>
      <c r="C9" s="4" t="s">
        <v>23</v>
      </c>
      <c r="D9" s="4" t="s">
        <v>24</v>
      </c>
      <c r="E9" s="4" t="s">
        <v>23</v>
      </c>
      <c r="F9" s="33" t="s">
        <v>25</v>
      </c>
      <c r="G9" s="35">
        <v>23.4889587879181</v>
      </c>
      <c r="H9" s="4">
        <v>5.0</v>
      </c>
      <c r="I9" s="35">
        <v>117.44479393959</v>
      </c>
      <c r="J9" s="35">
        <v>83.5185189247131</v>
      </c>
      <c r="K9" s="35">
        <v>83.5185189247131</v>
      </c>
      <c r="L9" s="4">
        <v>1.0</v>
      </c>
      <c r="M9" s="34">
        <v>2.15043349129198E-10</v>
      </c>
      <c r="N9" s="34">
        <v>2.15043349129198E-10</v>
      </c>
      <c r="O9" s="40">
        <v>0.0</v>
      </c>
      <c r="P9" s="4">
        <v>4.0</v>
      </c>
      <c r="Q9" s="4">
        <v>10.0</v>
      </c>
      <c r="R9" s="4">
        <v>80.0</v>
      </c>
      <c r="S9" s="4">
        <v>4.0</v>
      </c>
      <c r="V9" s="4" t="s">
        <v>25</v>
      </c>
    </row>
    <row r="10">
      <c r="A10" s="4">
        <v>102.0</v>
      </c>
      <c r="B10" s="4">
        <v>7.0</v>
      </c>
      <c r="C10" s="4" t="s">
        <v>23</v>
      </c>
      <c r="D10" s="4" t="s">
        <v>24</v>
      </c>
      <c r="E10" s="4" t="s">
        <v>23</v>
      </c>
      <c r="F10" s="33" t="s">
        <v>25</v>
      </c>
      <c r="G10" s="35">
        <v>21.3423063755035</v>
      </c>
      <c r="H10" s="4">
        <v>3.0</v>
      </c>
      <c r="I10" s="35">
        <v>64.0269191265106</v>
      </c>
      <c r="J10" s="35">
        <v>79.1825969219208</v>
      </c>
      <c r="K10" s="35">
        <v>79.1825969219208</v>
      </c>
      <c r="L10" s="4">
        <v>1.0</v>
      </c>
      <c r="M10" s="34">
        <v>1.67140650415392E-10</v>
      </c>
      <c r="N10" s="34">
        <v>1.67140650415392E-10</v>
      </c>
      <c r="O10" s="40">
        <v>0.0</v>
      </c>
      <c r="P10" s="4">
        <v>4.0</v>
      </c>
      <c r="Q10" s="4">
        <v>10.0</v>
      </c>
      <c r="R10" s="4">
        <v>80.0</v>
      </c>
      <c r="S10" s="4">
        <v>4.0</v>
      </c>
      <c r="V10" s="36"/>
    </row>
    <row r="11">
      <c r="A11" s="4">
        <v>102.0</v>
      </c>
      <c r="B11" s="4">
        <v>7.0</v>
      </c>
      <c r="C11" s="4" t="s">
        <v>23</v>
      </c>
      <c r="D11" s="4" t="s">
        <v>24</v>
      </c>
      <c r="E11" s="4" t="s">
        <v>23</v>
      </c>
      <c r="F11" s="33" t="s">
        <v>27</v>
      </c>
      <c r="G11" s="35">
        <v>25.7055553595225</v>
      </c>
      <c r="H11" s="4">
        <v>6.0</v>
      </c>
      <c r="I11" s="35">
        <v>154.233332157135</v>
      </c>
      <c r="J11" s="35">
        <v>454.354659080505</v>
      </c>
      <c r="K11" s="35">
        <v>75.7257765134176</v>
      </c>
      <c r="L11" s="4">
        <v>6.0</v>
      </c>
      <c r="M11" s="34">
        <v>0.0407131586792815</v>
      </c>
      <c r="N11" s="34">
        <v>0.020356579423217</v>
      </c>
      <c r="O11" s="23">
        <v>0.774899333388007</v>
      </c>
      <c r="P11" s="4">
        <v>4.0</v>
      </c>
      <c r="Q11" s="4">
        <v>10.0</v>
      </c>
      <c r="R11" s="4">
        <v>80.0</v>
      </c>
      <c r="S11" s="4">
        <v>4.0</v>
      </c>
      <c r="T11" s="12">
        <f t="shared" ref="T11:T12" si="5">M11/O11</f>
        <v>0.05253993251</v>
      </c>
      <c r="U11" s="12">
        <f t="shared" ref="U11:U12" si="6">N11/O11</f>
        <v>0.02626996636</v>
      </c>
      <c r="V11" s="36"/>
    </row>
    <row r="12">
      <c r="A12" s="4">
        <v>103.0</v>
      </c>
      <c r="B12" s="4">
        <v>8.0</v>
      </c>
      <c r="C12" s="4" t="s">
        <v>23</v>
      </c>
      <c r="D12" s="4" t="s">
        <v>24</v>
      </c>
      <c r="E12" s="4" t="s">
        <v>23</v>
      </c>
      <c r="F12" s="33" t="s">
        <v>27</v>
      </c>
      <c r="G12" s="35">
        <v>21.0396170020103</v>
      </c>
      <c r="H12" s="4">
        <v>4.0</v>
      </c>
      <c r="I12" s="35">
        <v>84.1584680080414</v>
      </c>
      <c r="J12" s="35">
        <v>304.67852807045</v>
      </c>
      <c r="K12" s="35">
        <v>76.1696320176125</v>
      </c>
      <c r="L12" s="4">
        <v>4.0</v>
      </c>
      <c r="M12" s="34">
        <v>0.0352740645115972</v>
      </c>
      <c r="N12" s="34">
        <v>0.0176370323402002</v>
      </c>
      <c r="O12" s="23">
        <v>4.95173017301476</v>
      </c>
      <c r="P12" s="4">
        <v>4.0</v>
      </c>
      <c r="Q12" s="4">
        <v>10.0</v>
      </c>
      <c r="R12" s="4">
        <v>80.0</v>
      </c>
      <c r="S12" s="4">
        <v>4.0</v>
      </c>
      <c r="T12" s="12">
        <f t="shared" si="5"/>
        <v>0.007123583733</v>
      </c>
      <c r="U12" s="12">
        <f t="shared" si="6"/>
        <v>0.003561791884</v>
      </c>
      <c r="V12" s="4" t="s">
        <v>27</v>
      </c>
    </row>
    <row r="13">
      <c r="A13" s="4">
        <v>104.0</v>
      </c>
      <c r="B13" s="4">
        <v>9.0</v>
      </c>
      <c r="C13" s="4" t="s">
        <v>23</v>
      </c>
      <c r="D13" s="4" t="s">
        <v>24</v>
      </c>
      <c r="E13" s="4" t="s">
        <v>23</v>
      </c>
      <c r="F13" s="33" t="s">
        <v>25</v>
      </c>
      <c r="G13" s="35">
        <v>17.1788376172384</v>
      </c>
      <c r="H13" s="4">
        <v>3.0</v>
      </c>
      <c r="I13" s="35">
        <v>51.5365128517151</v>
      </c>
      <c r="J13" s="35">
        <v>70.2086741924286</v>
      </c>
      <c r="K13" s="35">
        <v>70.2086741924286</v>
      </c>
      <c r="L13" s="4">
        <v>1.0</v>
      </c>
      <c r="M13" s="34">
        <v>1.56206336236025E-10</v>
      </c>
      <c r="N13" s="34">
        <v>1.56206336236025E-10</v>
      </c>
      <c r="O13" s="40">
        <v>0.0</v>
      </c>
      <c r="P13" s="4">
        <v>4.0</v>
      </c>
      <c r="Q13" s="4">
        <v>10.0</v>
      </c>
      <c r="R13" s="4">
        <v>80.0</v>
      </c>
      <c r="S13" s="4">
        <v>4.0</v>
      </c>
      <c r="V13" s="4" t="s">
        <v>25</v>
      </c>
    </row>
    <row r="14">
      <c r="A14" s="4">
        <v>107.0</v>
      </c>
      <c r="B14" s="4">
        <v>10.0</v>
      </c>
      <c r="C14" s="4" t="s">
        <v>23</v>
      </c>
      <c r="D14" s="4" t="s">
        <v>24</v>
      </c>
      <c r="E14" s="4" t="s">
        <v>23</v>
      </c>
      <c r="F14" s="33" t="s">
        <v>25</v>
      </c>
      <c r="G14" s="35">
        <v>23.4869212309519</v>
      </c>
      <c r="H14" s="4">
        <v>9.0</v>
      </c>
      <c r="I14" s="35">
        <v>211.382291078568</v>
      </c>
      <c r="J14" s="35">
        <v>1001.05353021622</v>
      </c>
      <c r="K14" s="35">
        <v>100.105353021622</v>
      </c>
      <c r="L14" s="4">
        <v>10.0</v>
      </c>
      <c r="M14" s="34">
        <v>0.21568763044814</v>
      </c>
      <c r="N14" s="34">
        <v>0.0539219077427275</v>
      </c>
      <c r="O14" s="23">
        <v>6.22331209610477</v>
      </c>
      <c r="P14" s="4">
        <v>4.0</v>
      </c>
      <c r="Q14" s="4">
        <v>10.0</v>
      </c>
      <c r="R14" s="4">
        <v>80.0</v>
      </c>
      <c r="S14" s="4">
        <v>4.0</v>
      </c>
      <c r="T14" s="12">
        <f t="shared" ref="T14:T15" si="7">M14/O14</f>
        <v>0.03465801283</v>
      </c>
      <c r="U14" s="12">
        <f t="shared" ref="U14:U15" si="8">N14/O14</f>
        <v>0.008664503228</v>
      </c>
      <c r="V14" s="4" t="s">
        <v>25</v>
      </c>
    </row>
    <row r="15">
      <c r="A15" s="4">
        <v>108.0</v>
      </c>
      <c r="B15" s="4">
        <v>11.0</v>
      </c>
      <c r="C15" s="4" t="s">
        <v>23</v>
      </c>
      <c r="D15" s="4" t="s">
        <v>24</v>
      </c>
      <c r="E15" s="4" t="s">
        <v>23</v>
      </c>
      <c r="F15" s="33" t="s">
        <v>25</v>
      </c>
      <c r="G15" s="35">
        <v>24.977681239446</v>
      </c>
      <c r="H15" s="4">
        <v>9.0</v>
      </c>
      <c r="I15" s="35">
        <v>224.799131155014</v>
      </c>
      <c r="J15" s="35">
        <v>71.1789801120758</v>
      </c>
      <c r="K15" s="35">
        <v>71.1789801120758</v>
      </c>
      <c r="L15" s="4">
        <v>1.0</v>
      </c>
      <c r="M15" s="39">
        <v>1.12820835678416E-10</v>
      </c>
      <c r="N15" s="39">
        <v>1.12806496003716E-10</v>
      </c>
      <c r="O15" s="23">
        <v>3.77178738783627</v>
      </c>
      <c r="P15" s="4">
        <v>4.0</v>
      </c>
      <c r="Q15" s="4">
        <v>10.0</v>
      </c>
      <c r="R15" s="4">
        <v>80.0</v>
      </c>
      <c r="S15" s="4">
        <v>4.0</v>
      </c>
      <c r="T15" s="12">
        <f t="shared" si="7"/>
        <v>0</v>
      </c>
      <c r="U15" s="12">
        <f t="shared" si="8"/>
        <v>0</v>
      </c>
      <c r="V15" s="36"/>
    </row>
    <row r="16">
      <c r="A16" s="4">
        <v>108.0</v>
      </c>
      <c r="B16" s="4">
        <v>11.0</v>
      </c>
      <c r="C16" s="4" t="s">
        <v>23</v>
      </c>
      <c r="D16" s="4" t="s">
        <v>24</v>
      </c>
      <c r="E16" s="4" t="s">
        <v>23</v>
      </c>
      <c r="F16" s="33" t="s">
        <v>27</v>
      </c>
      <c r="G16" s="35">
        <v>16.9069230556488</v>
      </c>
      <c r="H16" s="4">
        <v>2.0</v>
      </c>
      <c r="I16" s="35">
        <v>33.8138461112976</v>
      </c>
      <c r="J16" s="35">
        <v>70.1131479740143</v>
      </c>
      <c r="K16" s="35">
        <v>70.1131479740143</v>
      </c>
      <c r="L16" s="4">
        <v>1.0</v>
      </c>
      <c r="M16" s="34">
        <v>1.12831002374819E-10</v>
      </c>
      <c r="N16" s="34">
        <v>1.12831002374819E-10</v>
      </c>
      <c r="O16" s="40">
        <v>0.0</v>
      </c>
      <c r="P16" s="4">
        <v>4.0</v>
      </c>
      <c r="Q16" s="4">
        <v>10.0</v>
      </c>
      <c r="R16" s="4">
        <v>80.0</v>
      </c>
      <c r="S16" s="4">
        <v>4.0</v>
      </c>
      <c r="V16" s="36"/>
    </row>
    <row r="17">
      <c r="A17" s="4">
        <v>110.0</v>
      </c>
      <c r="B17" s="4">
        <v>12.0</v>
      </c>
      <c r="C17" s="4" t="s">
        <v>23</v>
      </c>
      <c r="D17" s="4" t="s">
        <v>24</v>
      </c>
      <c r="E17" s="4" t="s">
        <v>23</v>
      </c>
      <c r="F17" s="33" t="s">
        <v>25</v>
      </c>
      <c r="G17" s="35">
        <v>19.1734900474548</v>
      </c>
      <c r="H17" s="4">
        <v>2.0</v>
      </c>
      <c r="I17" s="35">
        <v>38.3469800949097</v>
      </c>
      <c r="J17" s="35">
        <v>521.668030977249</v>
      </c>
      <c r="K17" s="35">
        <v>65.2085038721561</v>
      </c>
      <c r="L17" s="4">
        <v>8.0</v>
      </c>
      <c r="M17" s="34">
        <v>0.113008854336641</v>
      </c>
      <c r="N17" s="34">
        <v>0.0713960912956585</v>
      </c>
      <c r="O17" s="23">
        <v>3.17451604170751</v>
      </c>
      <c r="P17" s="4">
        <v>4.0</v>
      </c>
      <c r="Q17" s="4">
        <v>10.0</v>
      </c>
      <c r="R17" s="4">
        <v>80.0</v>
      </c>
      <c r="S17" s="4">
        <v>4.0</v>
      </c>
      <c r="T17" s="12">
        <f t="shared" ref="T17:T18" si="9">M17/O17</f>
        <v>0.03559876619</v>
      </c>
      <c r="U17" s="12">
        <f t="shared" ref="U17:U18" si="10">N17/O17</f>
        <v>0.02249038605</v>
      </c>
      <c r="V17" s="36"/>
    </row>
    <row r="18">
      <c r="A18" s="4">
        <v>110.0</v>
      </c>
      <c r="B18" s="4">
        <v>12.0</v>
      </c>
      <c r="C18" s="4" t="s">
        <v>23</v>
      </c>
      <c r="D18" s="4" t="s">
        <v>24</v>
      </c>
      <c r="E18" s="4" t="s">
        <v>23</v>
      </c>
      <c r="F18" s="33" t="s">
        <v>27</v>
      </c>
      <c r="G18" s="35">
        <v>25.1236121313913</v>
      </c>
      <c r="H18" s="4">
        <v>7.0</v>
      </c>
      <c r="I18" s="35">
        <v>175.865284919739</v>
      </c>
      <c r="J18" s="35">
        <v>387.674911022186</v>
      </c>
      <c r="K18" s="35">
        <v>96.9187277555466</v>
      </c>
      <c r="L18" s="4">
        <v>4.0</v>
      </c>
      <c r="M18" s="34">
        <v>1.26790787578461E-10</v>
      </c>
      <c r="N18" s="34">
        <v>1.25729511268894E-10</v>
      </c>
      <c r="O18" s="23">
        <v>3.45563542098179</v>
      </c>
      <c r="P18" s="4">
        <v>4.0</v>
      </c>
      <c r="Q18" s="4">
        <v>10.0</v>
      </c>
      <c r="R18" s="4">
        <v>80.0</v>
      </c>
      <c r="S18" s="4">
        <v>4.0</v>
      </c>
      <c r="T18" s="12">
        <f t="shared" si="9"/>
        <v>0</v>
      </c>
      <c r="U18" s="12">
        <f t="shared" si="10"/>
        <v>0</v>
      </c>
      <c r="V18" s="36"/>
    </row>
    <row r="19">
      <c r="A19" s="4">
        <v>111.0</v>
      </c>
      <c r="B19" s="4">
        <v>13.0</v>
      </c>
      <c r="C19" s="4" t="s">
        <v>23</v>
      </c>
      <c r="D19" s="4" t="s">
        <v>24</v>
      </c>
      <c r="E19" s="4" t="s">
        <v>23</v>
      </c>
      <c r="F19" s="33" t="s">
        <v>27</v>
      </c>
      <c r="G19" s="35">
        <v>27.071624994278</v>
      </c>
      <c r="H19" s="4">
        <v>6.0</v>
      </c>
      <c r="I19" s="35">
        <v>162.429749965668</v>
      </c>
      <c r="J19" s="35">
        <v>713.949486970901</v>
      </c>
      <c r="K19" s="35">
        <v>79.3277207745446</v>
      </c>
      <c r="L19" s="4">
        <v>9.0</v>
      </c>
      <c r="M19" s="34">
        <v>0.00521522260255836</v>
      </c>
      <c r="N19" s="34">
        <v>0.00521522260255836</v>
      </c>
      <c r="O19" s="23">
        <v>0.0</v>
      </c>
      <c r="P19" s="4">
        <v>4.0</v>
      </c>
      <c r="Q19" s="4">
        <v>10.0</v>
      </c>
      <c r="R19" s="4">
        <v>80.0</v>
      </c>
      <c r="S19" s="4">
        <v>4.0</v>
      </c>
      <c r="V19" s="4" t="s">
        <v>27</v>
      </c>
    </row>
    <row r="20">
      <c r="A20" s="4">
        <v>112.0</v>
      </c>
      <c r="B20" s="4">
        <v>14.0</v>
      </c>
      <c r="C20" s="4" t="s">
        <v>23</v>
      </c>
      <c r="D20" s="4" t="s">
        <v>24</v>
      </c>
      <c r="E20" s="4" t="s">
        <v>23</v>
      </c>
      <c r="F20" s="33" t="s">
        <v>25</v>
      </c>
      <c r="G20" s="35">
        <v>15.7314835786819</v>
      </c>
      <c r="H20" s="4">
        <v>2.0</v>
      </c>
      <c r="I20" s="35">
        <v>31.4629671573639</v>
      </c>
      <c r="J20" s="35">
        <v>223.088999032974</v>
      </c>
      <c r="K20" s="35">
        <v>74.3629996776581</v>
      </c>
      <c r="L20" s="4">
        <v>3.0</v>
      </c>
      <c r="M20" s="34">
        <v>0.0438944907266148</v>
      </c>
      <c r="N20" s="34">
        <v>0.0355449951579251</v>
      </c>
      <c r="O20" s="23">
        <v>4.92589792666283</v>
      </c>
      <c r="P20" s="4">
        <v>4.0</v>
      </c>
      <c r="Q20" s="4">
        <v>10.0</v>
      </c>
      <c r="R20" s="4">
        <v>80.0</v>
      </c>
      <c r="S20" s="4">
        <v>4.0</v>
      </c>
      <c r="T20" s="12">
        <f t="shared" ref="T20:T21" si="11">M20/O20</f>
        <v>0.008910962302</v>
      </c>
      <c r="U20" s="12">
        <f t="shared" ref="U20:U21" si="12">N20/O20</f>
        <v>0.007215942289</v>
      </c>
      <c r="V20" s="4" t="s">
        <v>25</v>
      </c>
    </row>
    <row r="21">
      <c r="A21" s="4">
        <v>113.0</v>
      </c>
      <c r="B21" s="4">
        <v>15.0</v>
      </c>
      <c r="C21" s="4" t="s">
        <v>23</v>
      </c>
      <c r="D21" s="4" t="s">
        <v>24</v>
      </c>
      <c r="E21" s="4" t="s">
        <v>23</v>
      </c>
      <c r="F21" s="33" t="s">
        <v>25</v>
      </c>
      <c r="G21" s="35">
        <v>20.0346989631653</v>
      </c>
      <c r="H21" s="4">
        <v>4.0</v>
      </c>
      <c r="I21" s="35">
        <v>80.1387958526611</v>
      </c>
      <c r="J21" s="35">
        <v>375.80708694458</v>
      </c>
      <c r="K21" s="35">
        <v>75.161417388916</v>
      </c>
      <c r="L21" s="4">
        <v>5.0</v>
      </c>
      <c r="M21" s="34">
        <v>0.0391547528441549</v>
      </c>
      <c r="N21" s="34">
        <v>0.0142080538677805</v>
      </c>
      <c r="O21" s="23">
        <v>4.09423374415582</v>
      </c>
      <c r="P21" s="4">
        <v>4.0</v>
      </c>
      <c r="Q21" s="4">
        <v>10.0</v>
      </c>
      <c r="R21" s="4">
        <v>80.0</v>
      </c>
      <c r="S21" s="4">
        <v>4.0</v>
      </c>
      <c r="T21" s="12">
        <f t="shared" si="11"/>
        <v>0.009563389706</v>
      </c>
      <c r="U21" s="12">
        <f t="shared" si="12"/>
        <v>0.003470259579</v>
      </c>
      <c r="V21" s="36"/>
    </row>
    <row r="22">
      <c r="A22" s="4">
        <v>113.0</v>
      </c>
      <c r="B22" s="4">
        <v>15.0</v>
      </c>
      <c r="C22" s="4" t="s">
        <v>23</v>
      </c>
      <c r="D22" s="4" t="s">
        <v>24</v>
      </c>
      <c r="E22" s="4" t="s">
        <v>23</v>
      </c>
      <c r="F22" s="33" t="s">
        <v>27</v>
      </c>
      <c r="G22" s="35">
        <v>16.6569050550461</v>
      </c>
      <c r="H22" s="4">
        <v>2.0</v>
      </c>
      <c r="I22" s="35">
        <v>33.3138101100922</v>
      </c>
      <c r="J22" s="35">
        <v>69.8182759284973</v>
      </c>
      <c r="K22" s="35">
        <v>69.8182759284973</v>
      </c>
      <c r="L22" s="4">
        <v>1.0</v>
      </c>
      <c r="M22" s="34">
        <v>0.0188339316618453</v>
      </c>
      <c r="N22" s="34">
        <v>0.0188339316618453</v>
      </c>
      <c r="O22" s="40">
        <v>0.0</v>
      </c>
      <c r="P22" s="4">
        <v>4.0</v>
      </c>
      <c r="Q22" s="4">
        <v>10.0</v>
      </c>
      <c r="R22" s="4">
        <v>80.0</v>
      </c>
      <c r="S22" s="4">
        <v>4.0</v>
      </c>
      <c r="V22" s="36"/>
    </row>
    <row r="23">
      <c r="A23" s="4">
        <v>114.0</v>
      </c>
      <c r="B23" s="4">
        <v>16.0</v>
      </c>
      <c r="C23" s="4" t="s">
        <v>23</v>
      </c>
      <c r="D23" s="4" t="s">
        <v>24</v>
      </c>
      <c r="E23" s="4" t="s">
        <v>23</v>
      </c>
      <c r="F23" s="33" t="s">
        <v>27</v>
      </c>
      <c r="G23" s="35">
        <v>18.8995156685511</v>
      </c>
      <c r="H23" s="4">
        <v>6.0</v>
      </c>
      <c r="I23" s="35">
        <v>113.397094011307</v>
      </c>
      <c r="J23" s="35">
        <v>67.8391470909119</v>
      </c>
      <c r="K23" s="35">
        <v>67.8391470909119</v>
      </c>
      <c r="L23" s="4">
        <v>1.0</v>
      </c>
      <c r="M23" s="34">
        <v>1.89820363471069E-10</v>
      </c>
      <c r="N23" s="34">
        <v>1.89820363471069E-10</v>
      </c>
      <c r="O23" s="40">
        <v>0.0</v>
      </c>
      <c r="P23" s="4">
        <v>4.0</v>
      </c>
      <c r="Q23" s="4">
        <v>10.0</v>
      </c>
      <c r="R23" s="4">
        <v>80.0</v>
      </c>
      <c r="S23" s="4">
        <v>4.0</v>
      </c>
      <c r="V23" s="4" t="s">
        <v>27</v>
      </c>
    </row>
    <row r="24">
      <c r="A24" s="4">
        <v>115.0</v>
      </c>
      <c r="B24" s="4">
        <v>17.0</v>
      </c>
      <c r="C24" s="4" t="s">
        <v>23</v>
      </c>
      <c r="D24" s="4" t="s">
        <v>24</v>
      </c>
      <c r="E24" s="4" t="s">
        <v>23</v>
      </c>
      <c r="F24" s="33" t="s">
        <v>25</v>
      </c>
      <c r="G24" s="35">
        <v>27.4914963245392</v>
      </c>
      <c r="H24" s="4">
        <v>6.0</v>
      </c>
      <c r="I24" s="35">
        <v>164.948977947235</v>
      </c>
      <c r="J24" s="35">
        <v>1179.33608007431</v>
      </c>
      <c r="K24" s="35">
        <v>69.3727105926065</v>
      </c>
      <c r="L24" s="4">
        <v>17.0</v>
      </c>
      <c r="M24" s="34">
        <v>0.597424316664714</v>
      </c>
      <c r="N24" s="34">
        <v>0.199141438995383</v>
      </c>
      <c r="O24" s="23">
        <v>5.27211956075563</v>
      </c>
      <c r="P24" s="4">
        <v>4.0</v>
      </c>
      <c r="Q24" s="4">
        <v>10.0</v>
      </c>
      <c r="R24" s="4">
        <v>80.0</v>
      </c>
      <c r="S24" s="4">
        <v>4.0</v>
      </c>
      <c r="T24" s="12">
        <f t="shared" ref="T24:T28" si="13">M24/O24</f>
        <v>0.1133176723</v>
      </c>
      <c r="U24" s="12">
        <f t="shared" ref="U24:U28" si="14">N24/O24</f>
        <v>0.03777255745</v>
      </c>
      <c r="V24" s="4" t="s">
        <v>25</v>
      </c>
    </row>
    <row r="25">
      <c r="A25" s="4">
        <v>116.0</v>
      </c>
      <c r="B25" s="4">
        <v>18.0</v>
      </c>
      <c r="C25" s="4" t="s">
        <v>23</v>
      </c>
      <c r="D25" s="4" t="s">
        <v>24</v>
      </c>
      <c r="E25" s="4" t="s">
        <v>23</v>
      </c>
      <c r="F25" s="4" t="s">
        <v>25</v>
      </c>
      <c r="G25" s="35">
        <v>27.9749915599823</v>
      </c>
      <c r="H25" s="4">
        <v>11.0</v>
      </c>
      <c r="I25" s="35">
        <v>307.724907159805</v>
      </c>
      <c r="J25" s="35">
        <v>582.902956008911</v>
      </c>
      <c r="K25" s="35">
        <v>72.8628695011139</v>
      </c>
      <c r="L25" s="4">
        <v>8.0</v>
      </c>
      <c r="M25" s="34">
        <v>0.0334378967589117</v>
      </c>
      <c r="N25" s="34">
        <v>0.0127497017529777</v>
      </c>
      <c r="O25" s="23">
        <v>7.14187547876329</v>
      </c>
      <c r="P25" s="4">
        <v>4.0</v>
      </c>
      <c r="Q25" s="4">
        <v>10.0</v>
      </c>
      <c r="R25" s="4">
        <v>80.0</v>
      </c>
      <c r="S25" s="4">
        <v>4.0</v>
      </c>
      <c r="T25" s="12">
        <f t="shared" si="13"/>
        <v>0.004681949</v>
      </c>
      <c r="U25" s="12">
        <f t="shared" si="14"/>
        <v>0.001785203591</v>
      </c>
    </row>
    <row r="26">
      <c r="A26" s="4">
        <v>116.0</v>
      </c>
      <c r="B26" s="4">
        <v>18.0</v>
      </c>
      <c r="C26" s="4" t="s">
        <v>23</v>
      </c>
      <c r="D26" s="4" t="s">
        <v>24</v>
      </c>
      <c r="E26" s="4" t="s">
        <v>23</v>
      </c>
      <c r="F26" s="4" t="s">
        <v>27</v>
      </c>
      <c r="G26" s="35">
        <v>31.6825362954821</v>
      </c>
      <c r="H26" s="4">
        <v>14.0</v>
      </c>
      <c r="I26" s="35">
        <v>443.555508136749</v>
      </c>
      <c r="J26" s="35">
        <v>1068.78695893288</v>
      </c>
      <c r="K26" s="35">
        <v>76.3419256380626</v>
      </c>
      <c r="L26" s="4">
        <v>13.0</v>
      </c>
      <c r="M26" s="34">
        <v>0.24420102373593</v>
      </c>
      <c r="N26" s="34">
        <v>0.109144975041144</v>
      </c>
      <c r="O26" s="23">
        <v>3.54309802646484</v>
      </c>
      <c r="P26" s="4">
        <v>4.0</v>
      </c>
      <c r="Q26" s="4">
        <v>10.0</v>
      </c>
      <c r="R26" s="4">
        <v>80.0</v>
      </c>
      <c r="S26" s="4">
        <v>4.0</v>
      </c>
      <c r="T26" s="12">
        <f t="shared" si="13"/>
        <v>0.06892302214</v>
      </c>
      <c r="U26" s="12">
        <f t="shared" si="14"/>
        <v>0.03080495494</v>
      </c>
    </row>
    <row r="27">
      <c r="A27" s="4">
        <v>117.0</v>
      </c>
      <c r="B27" s="4">
        <v>19.0</v>
      </c>
      <c r="C27" s="4" t="s">
        <v>23</v>
      </c>
      <c r="D27" s="4" t="s">
        <v>24</v>
      </c>
      <c r="E27" s="4" t="s">
        <v>23</v>
      </c>
      <c r="F27" s="4" t="s">
        <v>27</v>
      </c>
      <c r="G27" s="35">
        <v>33.3397627472878</v>
      </c>
      <c r="H27" s="4">
        <v>20.0</v>
      </c>
      <c r="I27" s="35">
        <v>666.795254945755</v>
      </c>
      <c r="J27" s="35">
        <v>2108.07427716255</v>
      </c>
      <c r="K27" s="35">
        <v>84.3229710865021</v>
      </c>
      <c r="L27" s="4">
        <v>25.0</v>
      </c>
      <c r="M27" s="34">
        <v>0.013914495527672</v>
      </c>
      <c r="N27" s="34">
        <v>0.00327156301421537</v>
      </c>
      <c r="O27" s="23">
        <v>11.7406243042787</v>
      </c>
      <c r="P27" s="4">
        <v>4.0</v>
      </c>
      <c r="Q27" s="4">
        <v>10.0</v>
      </c>
      <c r="R27" s="4">
        <v>80.0</v>
      </c>
      <c r="S27" s="4">
        <v>4.0</v>
      </c>
      <c r="T27" s="12">
        <f t="shared" si="13"/>
        <v>0.00118515806</v>
      </c>
      <c r="U27" s="12">
        <f t="shared" si="14"/>
        <v>0.000278653241</v>
      </c>
      <c r="V27" s="4" t="s">
        <v>27</v>
      </c>
    </row>
    <row r="28">
      <c r="A28" s="4">
        <v>118.0</v>
      </c>
      <c r="B28" s="4">
        <v>20.0</v>
      </c>
      <c r="C28" s="4" t="s">
        <v>23</v>
      </c>
      <c r="D28" s="4" t="s">
        <v>24</v>
      </c>
      <c r="E28" s="4" t="s">
        <v>23</v>
      </c>
      <c r="F28" s="4" t="s">
        <v>25</v>
      </c>
      <c r="G28" s="35">
        <v>27.6698390007019</v>
      </c>
      <c r="H28" s="4">
        <v>10.0</v>
      </c>
      <c r="I28" s="35">
        <v>276.698390007019</v>
      </c>
      <c r="J28" s="35">
        <v>1289.92009997368</v>
      </c>
      <c r="K28" s="35">
        <v>107.493341664473</v>
      </c>
      <c r="L28" s="4">
        <v>12.0</v>
      </c>
      <c r="M28" s="34">
        <v>3.20054466673838</v>
      </c>
      <c r="N28" s="34">
        <v>0.924688150259041</v>
      </c>
      <c r="O28" s="23">
        <v>13.7026593440977</v>
      </c>
      <c r="P28" s="4">
        <v>4.0</v>
      </c>
      <c r="Q28" s="4">
        <v>10.0</v>
      </c>
      <c r="R28" s="4">
        <v>80.0</v>
      </c>
      <c r="S28" s="4">
        <v>4.0</v>
      </c>
      <c r="T28" s="12">
        <f t="shared" si="13"/>
        <v>0.2335710599</v>
      </c>
      <c r="U28" s="12">
        <f t="shared" si="14"/>
        <v>0.06748238623</v>
      </c>
      <c r="V28" s="4" t="s">
        <v>25</v>
      </c>
    </row>
    <row r="29">
      <c r="F29" s="33"/>
      <c r="G29" s="35"/>
      <c r="I29" s="35">
        <f t="shared" ref="I29:J29" si="15">AVERAGE(I2:I28)</f>
        <v>175.2125858</v>
      </c>
      <c r="J29" s="35">
        <f t="shared" si="15"/>
        <v>508.6300809</v>
      </c>
      <c r="K29" s="35"/>
      <c r="M29" s="26">
        <f t="shared" ref="M29:O29" si="16">AVERAGE(M2:M28)</f>
        <v>0.1769586278</v>
      </c>
      <c r="N29" s="26">
        <f t="shared" si="16"/>
        <v>0.05774945905</v>
      </c>
      <c r="O29" s="10">
        <f t="shared" si="16"/>
        <v>3.613814303</v>
      </c>
      <c r="T29" s="12">
        <f t="shared" ref="T29:U29" si="17">AVERAGE(T2:T28)</f>
        <v>0.03201305488</v>
      </c>
      <c r="U29" s="12">
        <f t="shared" si="17"/>
        <v>0.01171165819</v>
      </c>
    </row>
    <row r="33">
      <c r="A33" s="12">
        <f t="array" ref="A33:A52">UNIQUE(A2:A28)</f>
        <v>94</v>
      </c>
      <c r="B33" s="4">
        <v>1.0</v>
      </c>
    </row>
    <row r="34">
      <c r="A34" s="12">
        <v>95.0</v>
      </c>
      <c r="B34" s="4">
        <v>2.0</v>
      </c>
    </row>
    <row r="35">
      <c r="A35" s="12">
        <v>96.0</v>
      </c>
      <c r="B35" s="4">
        <v>3.0</v>
      </c>
    </row>
    <row r="36">
      <c r="A36" s="12">
        <v>98.0</v>
      </c>
      <c r="B36" s="4">
        <v>4.0</v>
      </c>
    </row>
    <row r="37">
      <c r="A37" s="12">
        <v>99.0</v>
      </c>
      <c r="B37" s="4">
        <v>5.0</v>
      </c>
    </row>
    <row r="38">
      <c r="A38" s="12">
        <v>100.0</v>
      </c>
      <c r="B38" s="4">
        <v>6.0</v>
      </c>
    </row>
    <row r="39">
      <c r="A39" s="12">
        <v>102.0</v>
      </c>
      <c r="B39" s="4">
        <v>7.0</v>
      </c>
    </row>
    <row r="40">
      <c r="A40" s="12">
        <v>103.0</v>
      </c>
      <c r="B40" s="4">
        <v>8.0</v>
      </c>
    </row>
    <row r="41">
      <c r="A41" s="12">
        <v>104.0</v>
      </c>
      <c r="B41" s="4">
        <v>9.0</v>
      </c>
    </row>
    <row r="42">
      <c r="A42" s="12">
        <v>107.0</v>
      </c>
      <c r="B42" s="4">
        <v>10.0</v>
      </c>
    </row>
    <row r="43">
      <c r="A43" s="12">
        <v>108.0</v>
      </c>
      <c r="B43" s="4">
        <v>11.0</v>
      </c>
    </row>
    <row r="44">
      <c r="A44" s="12">
        <v>110.0</v>
      </c>
      <c r="B44" s="4">
        <v>12.0</v>
      </c>
    </row>
    <row r="45">
      <c r="A45" s="12">
        <v>111.0</v>
      </c>
      <c r="B45" s="4">
        <v>13.0</v>
      </c>
    </row>
    <row r="46">
      <c r="A46" s="12">
        <v>112.0</v>
      </c>
      <c r="B46" s="4">
        <v>14.0</v>
      </c>
    </row>
    <row r="47">
      <c r="A47" s="12">
        <v>113.0</v>
      </c>
      <c r="B47" s="4">
        <v>15.0</v>
      </c>
    </row>
    <row r="48">
      <c r="A48" s="12">
        <v>114.0</v>
      </c>
      <c r="B48" s="4">
        <v>16.0</v>
      </c>
    </row>
    <row r="49">
      <c r="A49" s="12">
        <v>115.0</v>
      </c>
      <c r="B49" s="4">
        <v>17.0</v>
      </c>
    </row>
    <row r="50">
      <c r="A50" s="12">
        <v>116.0</v>
      </c>
      <c r="B50" s="4">
        <v>18.0</v>
      </c>
    </row>
    <row r="51">
      <c r="A51" s="12">
        <v>117.0</v>
      </c>
      <c r="B51" s="4">
        <v>19.0</v>
      </c>
    </row>
    <row r="52">
      <c r="A52" s="12">
        <v>118.0</v>
      </c>
      <c r="B52" s="4">
        <v>20.0</v>
      </c>
    </row>
  </sheetData>
  <autoFilter ref="$V$1:$V$99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4.75"/>
    <col customWidth="1" min="3" max="3" width="13.0"/>
    <col customWidth="1" min="4" max="4" width="8.63"/>
    <col customWidth="1" min="5" max="5" width="11.13"/>
    <col customWidth="1" min="6" max="6" width="6.13"/>
    <col customWidth="1" min="7" max="7" width="10.25"/>
    <col customWidth="1" min="8" max="8" width="7.25"/>
  </cols>
  <sheetData>
    <row r="1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</row>
    <row r="2">
      <c r="A2" s="4">
        <v>1.0</v>
      </c>
      <c r="B2" s="4" t="s">
        <v>76</v>
      </c>
      <c r="C2" s="4">
        <v>38401.0</v>
      </c>
      <c r="D2" s="4">
        <v>10.08</v>
      </c>
      <c r="E2" s="4">
        <v>0.86</v>
      </c>
      <c r="F2" s="4">
        <v>35.0</v>
      </c>
      <c r="G2" s="4">
        <v>16.0</v>
      </c>
      <c r="H2" s="4">
        <v>360.0</v>
      </c>
    </row>
    <row r="3">
      <c r="A3" s="4">
        <v>2.0</v>
      </c>
      <c r="B3" s="4" t="s">
        <v>77</v>
      </c>
      <c r="C3" s="4">
        <v>38579.0</v>
      </c>
      <c r="D3" s="4">
        <v>10.13</v>
      </c>
      <c r="E3" s="4">
        <v>0.87</v>
      </c>
      <c r="F3" s="4">
        <v>30.0</v>
      </c>
      <c r="G3" s="4">
        <v>13.0</v>
      </c>
      <c r="H3" s="4">
        <v>360.0</v>
      </c>
    </row>
    <row r="4">
      <c r="A4" s="4">
        <v>3.0</v>
      </c>
      <c r="B4" s="4" t="s">
        <v>76</v>
      </c>
      <c r="C4" s="4">
        <v>38962.0</v>
      </c>
      <c r="D4" s="4">
        <v>10.23</v>
      </c>
      <c r="E4" s="4">
        <v>0.84</v>
      </c>
      <c r="F4" s="4">
        <v>41.0</v>
      </c>
      <c r="G4" s="4">
        <v>18.0</v>
      </c>
      <c r="H4" s="4">
        <v>360.0</v>
      </c>
    </row>
    <row r="5">
      <c r="A5" s="4">
        <v>4.0</v>
      </c>
      <c r="B5" s="4" t="s">
        <v>76</v>
      </c>
      <c r="C5" s="4">
        <v>39462.0</v>
      </c>
      <c r="D5" s="4">
        <v>10.36</v>
      </c>
      <c r="E5" s="4">
        <v>0.94</v>
      </c>
      <c r="F5" s="4">
        <v>30.0</v>
      </c>
      <c r="G5" s="4">
        <v>23.0</v>
      </c>
      <c r="H5" s="4">
        <v>360.0</v>
      </c>
    </row>
    <row r="6">
      <c r="A6" s="4">
        <v>5.0</v>
      </c>
      <c r="B6" s="4" t="s">
        <v>77</v>
      </c>
      <c r="C6" s="4">
        <v>38205.0</v>
      </c>
      <c r="D6" s="4">
        <v>10.03</v>
      </c>
      <c r="E6" s="4">
        <v>0.85</v>
      </c>
      <c r="F6" s="4">
        <v>38.0</v>
      </c>
      <c r="G6" s="4">
        <v>17.0</v>
      </c>
      <c r="H6" s="4">
        <v>360.0</v>
      </c>
    </row>
    <row r="7">
      <c r="A7" s="4">
        <v>6.0</v>
      </c>
      <c r="B7" s="4" t="s">
        <v>76</v>
      </c>
      <c r="C7" s="4">
        <v>38386.0</v>
      </c>
      <c r="D7" s="4">
        <v>10.08</v>
      </c>
      <c r="E7" s="4">
        <v>0.7</v>
      </c>
      <c r="F7" s="4">
        <v>33.0</v>
      </c>
      <c r="G7" s="4">
        <v>7.0</v>
      </c>
      <c r="H7" s="4">
        <v>360.0</v>
      </c>
    </row>
    <row r="8">
      <c r="A8" s="4">
        <v>7.0</v>
      </c>
      <c r="B8" s="4" t="s">
        <v>77</v>
      </c>
      <c r="C8" s="4">
        <v>38905.0</v>
      </c>
      <c r="D8" s="4">
        <v>10.22</v>
      </c>
      <c r="E8" s="4">
        <v>0.8</v>
      </c>
      <c r="F8" s="4">
        <v>37.0</v>
      </c>
      <c r="G8" s="4">
        <v>14.0</v>
      </c>
      <c r="H8" s="4">
        <v>360.0</v>
      </c>
    </row>
    <row r="9">
      <c r="A9" s="4">
        <v>8.0</v>
      </c>
      <c r="B9" s="4" t="s">
        <v>78</v>
      </c>
      <c r="C9" s="4">
        <v>38197.0</v>
      </c>
      <c r="D9" s="4">
        <v>10.03</v>
      </c>
      <c r="E9" s="4">
        <v>0.8</v>
      </c>
      <c r="F9" s="4">
        <v>36.0</v>
      </c>
      <c r="G9" s="4">
        <v>18.0</v>
      </c>
      <c r="H9" s="4">
        <v>360.0</v>
      </c>
    </row>
    <row r="10">
      <c r="A10" s="4">
        <v>9.0</v>
      </c>
      <c r="B10" s="4" t="s">
        <v>76</v>
      </c>
      <c r="C10" s="4">
        <v>38448.0</v>
      </c>
      <c r="D10" s="4">
        <v>10.1</v>
      </c>
      <c r="E10" s="4">
        <v>0.91</v>
      </c>
      <c r="F10" s="4">
        <v>34.0</v>
      </c>
      <c r="G10" s="4">
        <v>23.0</v>
      </c>
      <c r="H10" s="4">
        <v>360.0</v>
      </c>
    </row>
    <row r="11">
      <c r="A11" s="4">
        <v>10.0</v>
      </c>
      <c r="B11" s="4" t="s">
        <v>76</v>
      </c>
      <c r="C11" s="4">
        <v>38137.0</v>
      </c>
      <c r="D11" s="4">
        <v>10.01</v>
      </c>
      <c r="E11" s="4">
        <v>0.8</v>
      </c>
      <c r="F11" s="4">
        <v>33.0</v>
      </c>
      <c r="G11" s="4">
        <v>12.0</v>
      </c>
      <c r="H11" s="4">
        <v>360.0</v>
      </c>
    </row>
    <row r="12">
      <c r="A12" s="4">
        <v>11.0</v>
      </c>
      <c r="B12" s="4" t="s">
        <v>77</v>
      </c>
      <c r="C12" s="4">
        <v>39023.0</v>
      </c>
      <c r="D12" s="4">
        <v>10.25</v>
      </c>
      <c r="E12" s="4">
        <v>0.87</v>
      </c>
      <c r="F12" s="4">
        <v>36.0</v>
      </c>
      <c r="G12" s="4">
        <v>21.0</v>
      </c>
      <c r="H12" s="4">
        <v>360.0</v>
      </c>
    </row>
    <row r="13">
      <c r="A13" s="4">
        <v>12.0</v>
      </c>
      <c r="B13" s="4" t="s">
        <v>77</v>
      </c>
      <c r="C13" s="4">
        <v>38626.0</v>
      </c>
      <c r="D13" s="4">
        <v>10.14</v>
      </c>
      <c r="E13" s="4">
        <v>0.88</v>
      </c>
      <c r="F13" s="4">
        <v>38.0</v>
      </c>
      <c r="G13" s="4">
        <v>21.0</v>
      </c>
      <c r="H13" s="4">
        <v>360.0</v>
      </c>
    </row>
    <row r="14">
      <c r="A14" s="4">
        <v>13.0</v>
      </c>
      <c r="B14" s="4" t="s">
        <v>78</v>
      </c>
      <c r="C14" s="4">
        <v>38546.0</v>
      </c>
      <c r="D14" s="4">
        <v>10.12</v>
      </c>
      <c r="E14" s="4">
        <v>0.77</v>
      </c>
      <c r="F14" s="4">
        <v>35.0</v>
      </c>
      <c r="G14" s="4">
        <v>6.0</v>
      </c>
      <c r="H14" s="4">
        <v>360.0</v>
      </c>
    </row>
    <row r="15">
      <c r="A15" s="4">
        <v>14.0</v>
      </c>
      <c r="B15" s="4" t="s">
        <v>76</v>
      </c>
      <c r="C15" s="4">
        <v>38479.0</v>
      </c>
      <c r="D15" s="4">
        <v>10.1</v>
      </c>
      <c r="E15" s="4">
        <v>0.8</v>
      </c>
      <c r="F15" s="4">
        <v>28.0</v>
      </c>
      <c r="G15" s="4">
        <v>14.0</v>
      </c>
      <c r="H15" s="4">
        <v>360.0</v>
      </c>
    </row>
    <row r="16">
      <c r="A16" s="4">
        <v>15.0</v>
      </c>
      <c r="B16" s="4" t="s">
        <v>77</v>
      </c>
      <c r="C16" s="4">
        <v>41536.0</v>
      </c>
      <c r="D16" s="4">
        <v>10.91</v>
      </c>
      <c r="E16" s="4">
        <v>0.85</v>
      </c>
      <c r="F16" s="4">
        <v>31.0</v>
      </c>
      <c r="G16" s="4">
        <v>16.0</v>
      </c>
      <c r="H16" s="4">
        <v>360.0</v>
      </c>
    </row>
    <row r="17">
      <c r="A17" s="4">
        <v>16.0</v>
      </c>
      <c r="B17" s="4" t="s">
        <v>78</v>
      </c>
      <c r="C17" s="4">
        <v>38529.0</v>
      </c>
      <c r="D17" s="4">
        <v>10.12</v>
      </c>
      <c r="E17" s="4">
        <v>0.87</v>
      </c>
      <c r="F17" s="4">
        <v>32.0</v>
      </c>
      <c r="G17" s="4">
        <v>18.0</v>
      </c>
      <c r="H17" s="4">
        <v>360.0</v>
      </c>
    </row>
    <row r="18">
      <c r="A18" s="4">
        <v>17.0</v>
      </c>
      <c r="B18" s="4" t="s">
        <v>76</v>
      </c>
      <c r="C18" s="4">
        <v>38384.0</v>
      </c>
      <c r="D18" s="4">
        <v>10.08</v>
      </c>
      <c r="E18" s="4">
        <v>0.86</v>
      </c>
      <c r="F18" s="4">
        <v>32.0</v>
      </c>
      <c r="G18" s="4">
        <v>18.0</v>
      </c>
      <c r="H18" s="4">
        <v>360.0</v>
      </c>
    </row>
    <row r="19">
      <c r="A19" s="4">
        <v>18.0</v>
      </c>
      <c r="B19" s="4" t="s">
        <v>77</v>
      </c>
      <c r="C19" s="4">
        <v>39732.0</v>
      </c>
      <c r="D19" s="4">
        <v>10.43</v>
      </c>
      <c r="E19" s="4">
        <v>0.83</v>
      </c>
      <c r="F19" s="4">
        <v>33.0</v>
      </c>
      <c r="G19" s="4">
        <v>13.0</v>
      </c>
      <c r="H19" s="4">
        <v>360.0</v>
      </c>
    </row>
    <row r="20">
      <c r="A20" s="4">
        <v>19.0</v>
      </c>
      <c r="B20" s="4" t="s">
        <v>78</v>
      </c>
      <c r="C20" s="4">
        <v>38528.0</v>
      </c>
      <c r="D20" s="4">
        <v>10.12</v>
      </c>
      <c r="E20" s="4">
        <v>0.82</v>
      </c>
      <c r="F20" s="4">
        <v>38.0</v>
      </c>
      <c r="G20" s="4">
        <v>16.0</v>
      </c>
      <c r="H20" s="4">
        <v>360.0</v>
      </c>
    </row>
    <row r="21">
      <c r="A21" s="4">
        <v>20.0</v>
      </c>
      <c r="B21" s="4" t="s">
        <v>76</v>
      </c>
      <c r="C21" s="4">
        <v>38378.0</v>
      </c>
      <c r="D21" s="4">
        <v>10.08</v>
      </c>
      <c r="E21" s="4">
        <v>0.82</v>
      </c>
      <c r="F21" s="4">
        <v>33.0</v>
      </c>
      <c r="G21" s="4">
        <v>8.0</v>
      </c>
      <c r="H21" s="4">
        <v>360.0</v>
      </c>
    </row>
    <row r="22">
      <c r="C22" s="12">
        <f t="shared" ref="C22:H22" si="1">AVERAGE(C2:C21)</f>
        <v>38772.15</v>
      </c>
      <c r="D22" s="12">
        <f t="shared" si="1"/>
        <v>10.181</v>
      </c>
      <c r="E22" s="12">
        <f t="shared" si="1"/>
        <v>0.837</v>
      </c>
      <c r="F22" s="12">
        <f t="shared" si="1"/>
        <v>34.15</v>
      </c>
      <c r="G22" s="12">
        <f t="shared" si="1"/>
        <v>15.6</v>
      </c>
      <c r="H22" s="12">
        <f t="shared" si="1"/>
        <v>360</v>
      </c>
    </row>
  </sheetData>
  <drawing r:id="rId1"/>
</worksheet>
</file>
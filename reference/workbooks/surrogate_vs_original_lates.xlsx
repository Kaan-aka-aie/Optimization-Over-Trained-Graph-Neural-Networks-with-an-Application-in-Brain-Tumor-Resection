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/Users/kaancakiroglu/Documents/Bilkent/Tez/After May 2/"/>
    </mc:Choice>
  </mc:AlternateContent>
  <xr:revisionPtr revIDLastSave="0" documentId="13_ncr:1_{49CAC24F-5BBA-4943-A7DE-4990E8F9F847}" xr6:coauthVersionLast="47" xr6:coauthVersionMax="47" xr10:uidLastSave="{00000000-0000-0000-0000-000000000000}"/>
  <bookViews>
    <workbookView xWindow="0" yWindow="740" windowWidth="29400" windowHeight="17160" xr2:uid="{00000000-000D-0000-FFFF-FFFF00000000}"/>
  </bookViews>
  <sheets>
    <sheet name="Raw Data" sheetId="5" r:id="rId1"/>
    <sheet name="Total" sheetId="1" r:id="rId2"/>
    <sheet name="GE" sheetId="2" r:id="rId3"/>
    <sheet name="GE Visual" sheetId="3" r:id="rId4"/>
    <sheet name="GE MDEN" sheetId="4" r:id="rId5"/>
  </sheets>
  <definedNames>
    <definedName name="_xlnm._FilterDatabase" localSheetId="1" hidden="1">Total!$A$1:$T$111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1" i="1" l="1"/>
  <c r="J111" i="1"/>
  <c r="K111" i="1"/>
  <c r="L111" i="1"/>
  <c r="M111" i="1"/>
  <c r="N111" i="1"/>
  <c r="H41" i="2"/>
  <c r="I41" i="2"/>
  <c r="J41" i="2"/>
  <c r="K41" i="2"/>
  <c r="L41" i="2"/>
  <c r="M41" i="2"/>
  <c r="N41" i="2"/>
  <c r="H41" i="3"/>
  <c r="I41" i="3"/>
  <c r="J41" i="3"/>
  <c r="K41" i="3"/>
  <c r="L41" i="3"/>
  <c r="M41" i="3"/>
  <c r="N41" i="3"/>
  <c r="H41" i="4"/>
  <c r="I41" i="4"/>
  <c r="J41" i="4"/>
  <c r="K41" i="4"/>
  <c r="L41" i="4"/>
  <c r="M41" i="4"/>
  <c r="N41" i="4"/>
  <c r="N40" i="4"/>
  <c r="M40" i="4"/>
  <c r="L40" i="4"/>
  <c r="K40" i="4"/>
  <c r="J40" i="4"/>
  <c r="I40" i="4"/>
  <c r="H40" i="4"/>
  <c r="N39" i="4"/>
  <c r="M39" i="4"/>
  <c r="L39" i="4"/>
  <c r="K39" i="4"/>
  <c r="J39" i="4"/>
  <c r="I39" i="4"/>
  <c r="H39" i="4"/>
  <c r="N38" i="4"/>
  <c r="M38" i="4"/>
  <c r="L38" i="4"/>
  <c r="K38" i="4"/>
  <c r="J38" i="4"/>
  <c r="I38" i="4"/>
  <c r="H38" i="4"/>
  <c r="N40" i="3"/>
  <c r="M40" i="3"/>
  <c r="L40" i="3"/>
  <c r="K40" i="3"/>
  <c r="J40" i="3"/>
  <c r="I40" i="3"/>
  <c r="H40" i="3"/>
  <c r="N39" i="3"/>
  <c r="M39" i="3"/>
  <c r="L39" i="3"/>
  <c r="K39" i="3"/>
  <c r="J39" i="3"/>
  <c r="I39" i="3"/>
  <c r="H39" i="3"/>
  <c r="N38" i="3"/>
  <c r="M38" i="3"/>
  <c r="L38" i="3"/>
  <c r="K38" i="3"/>
  <c r="J38" i="3"/>
  <c r="I38" i="3"/>
  <c r="H38" i="3"/>
  <c r="I38" i="2"/>
  <c r="J38" i="2"/>
  <c r="K38" i="2"/>
  <c r="L38" i="2"/>
  <c r="M38" i="2"/>
  <c r="N38" i="2"/>
  <c r="I39" i="2"/>
  <c r="J39" i="2"/>
  <c r="K39" i="2"/>
  <c r="L39" i="2"/>
  <c r="M39" i="2"/>
  <c r="N39" i="2"/>
  <c r="I40" i="2"/>
  <c r="J40" i="2"/>
  <c r="K40" i="2"/>
  <c r="L40" i="2"/>
  <c r="M40" i="2"/>
  <c r="N40" i="2"/>
  <c r="H40" i="2"/>
  <c r="H39" i="2"/>
  <c r="H38" i="2"/>
  <c r="N108" i="1"/>
  <c r="N109" i="1"/>
  <c r="N110" i="1"/>
  <c r="I108" i="1"/>
  <c r="J108" i="1"/>
  <c r="K108" i="1"/>
  <c r="L108" i="1"/>
  <c r="M108" i="1"/>
  <c r="I109" i="1"/>
  <c r="J109" i="1"/>
  <c r="K109" i="1"/>
  <c r="L109" i="1"/>
  <c r="M109" i="1"/>
  <c r="I110" i="1"/>
  <c r="J110" i="1"/>
  <c r="K110" i="1"/>
  <c r="L110" i="1"/>
  <c r="M110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2" i="1"/>
  <c r="H111" i="1" s="1"/>
  <c r="H108" i="1" l="1"/>
  <c r="H109" i="1"/>
  <c r="H110" i="1"/>
</calcChain>
</file>

<file path=xl/sharedStrings.xml><?xml version="1.0" encoding="utf-8"?>
<sst xmlns="http://schemas.openxmlformats.org/spreadsheetml/2006/main" count="1593" uniqueCount="238">
  <si>
    <t>instance</t>
  </si>
  <si>
    <t>objective</t>
  </si>
  <si>
    <t>subnetwork</t>
  </si>
  <si>
    <t>surrogate</t>
  </si>
  <si>
    <t>surrogate resulting</t>
  </si>
  <si>
    <t>mnrp resulting</t>
  </si>
  <si>
    <t>gap %</t>
  </si>
  <si>
    <t>surrogate opt time</t>
  </si>
  <si>
    <t>surrogate constr time</t>
  </si>
  <si>
    <t>mnrp</t>
  </si>
  <si>
    <t>mnrp opt time</t>
  </si>
  <si>
    <t>mnrp constr time</t>
  </si>
  <si>
    <t>jaccard index</t>
  </si>
  <si>
    <t>mnrp removed</t>
  </si>
  <si>
    <t>surrogate removed</t>
  </si>
  <si>
    <t>ge</t>
  </si>
  <si>
    <t>overall</t>
  </si>
  <si>
    <t>[2, 3, 4, 5, 6, 7, 10, 14, 15, 16, 17, 19, 26, 27, 28, 29, 30, 32, 33, 35, 36, 37, 38, 39]</t>
  </si>
  <si>
    <t>[2, 3, 4, 5, 6, 7, 10, 13, 14, 15, 16, 17, 19, 26, 27, 28, 29, 30, 32, 33, 35, 36, 37, 38]</t>
  </si>
  <si>
    <t>Visual_Network</t>
  </si>
  <si>
    <t>[2, 3, 4, 5, 6, 7, 8, 9, 10, 14, 15, 16, 17, 18, 19, 25, 26, 27, 28, 29, 30, 32, 33, 35, 36, 37, 38]</t>
  </si>
  <si>
    <t>Multiple_Demand_Extended_Network</t>
  </si>
  <si>
    <t>[0, 2, 4, 5, 6, 7, 10, 14, 15, 16, 17, 18, 19, 20, 23, 26, 27, 28, 29, 30, 32, 33, 34, 35, 36, 37, 38, 39]</t>
  </si>
  <si>
    <t>[2, 4, 5, 6, 7, 11, 12, 13, 14, 16, 17, 18, 25, 26, 27, 28, 30, 31, 32, 33, 34, 35]</t>
  </si>
  <si>
    <t>[2, 4, 5, 6, 7, 10, 11, 12, 13, 14, 16, 18, 25, 26, 27, 28, 30, 31, 32, 33, 34, 35]</t>
  </si>
  <si>
    <t>[1, 2, 4, 6, 7, 8, 9, 11, 12, 13, 14, 15, 16, 17, 18, 19, 20, 21, 22, 23, 25, 26, 27, 28, 30, 31, 32, 33, 34, 35]</t>
  </si>
  <si>
    <t>[2, 4, 6, 7, 8, 11, 12, 13, 14, 15, 16, 17, 18, 20, 24, 25, 26, 27, 28, 30, 31, 32, 33, 34, 35]</t>
  </si>
  <si>
    <t>[1, 2, 3, 4, 6, 7, 8, 10, 11, 12, 13, 14, 15, 16, 17, 18, 21, 25, 26, 27, 28, 29, 30, 31, 32, 33, 34, 35]</t>
  </si>
  <si>
    <t>[1, 2, 3, 4, 5, 6, 7, 8, 11, 12, 13, 14, 16, 17, 18, 20, 21, 25, 26, 27, 28, 30, 31, 32, 33, 34, 35]</t>
  </si>
  <si>
    <t>[0, 2, 3, 4, 5, 8, 10, 11, 13, 14, 15, 22, 23, 24, 25, 26, 27, 28, 29, 30, 33, 34, 35, 36, 37, 38]</t>
  </si>
  <si>
    <t>[0, 2, 3, 5, 6, 7, 11, 14, 15, 16, 17, 18, 19, 20, 21, 22, 23, 25, 26, 27, 28, 29, 30, 31, 32, 33, 34, 35, 36, 37, 38, 39]</t>
  </si>
  <si>
    <t>[0, 3, 4, 5, 6, 7, 8, 10, 11, 14, 15, 16, 17, 18, 19, 20, 21, 22, 23, 25, 26, 27, 28, 29, 30, 31, 32, 33, 34, 35, 36, 37, 38, 39]</t>
  </si>
  <si>
    <t>[0, 1, 2, 3, 5, 6, 10, 11, 12, 13, 14, 15, 16, 18, 20, 22, 23, 24, 25, 26, 27, 28, 29, 30, 31, 32, 33, 34, 35, 36, 37, 38]</t>
  </si>
  <si>
    <t>[0, 1, 2, 3, 5, 7, 10, 11, 12, 13, 15, 16, 19, 21, 23, 24, 25, 26, 27, 28, 29, 30, 32, 33, 34, 35, 37, 38]</t>
  </si>
  <si>
    <t>[1, 2, 3, 4, 5, 6, 8, 9, 10, 11, 12, 16, 17, 18, 21, 22, 23, 25, 26, 28, 29, 30, 31]</t>
  </si>
  <si>
    <t>[1, 2, 3, 4, 5, 6, 7, 8, 9, 12, 13, 15, 16, 17, 18, 20, 21, 22, 23, 24, 25, 26, 27, 28, 29, 30, 31, 32, 34]</t>
  </si>
  <si>
    <t>[0, 2, 3, 4, 5, 8, 13, 15, 16, 18, 19, 20, 21, 23]</t>
  </si>
  <si>
    <t>[0, 2, 3, 4, 5, 8, 10, 13, 15, 16, 18, 19, 21, 23]</t>
  </si>
  <si>
    <t>[0, 2, 3, 4, 5, 6, 7, 9, 11, 12, 13, 14, 15, 16, 18, 19, 20, 21, 24]</t>
  </si>
  <si>
    <t>[0, 2, 3, 4, 5, 6, 8, 9, 10, 13, 14, 15, 16, 17, 18, 19, 20, 21, 22, 23, 24]</t>
  </si>
  <si>
    <t>[0, 2, 3, 4, 5, 8, 9, 10, 13, 15, 16, 18, 19, 20, 21, 23]</t>
  </si>
  <si>
    <t>[0, 1, 2, 6, 7, 10, 15, 18, 19, 20, 21, 23, 24, 25, 26, 27, 28, 29, 30, 31, 32, 33, 34]</t>
  </si>
  <si>
    <t>[0, 1, 2, 6, 7, 8, 15, 17, 18, 19, 20, 21, 23, 24, 25, 26, 27, 28, 29, 30, 31, 32, 33]</t>
  </si>
  <si>
    <t>[0, 3, 6, 7, 8, 11, 12, 13, 14, 15, 17, 18, 19, 20, 21, 22, 23, 24, 25, 26, 27, 28, 29, 30, 31, 32, 33, 34, 35]</t>
  </si>
  <si>
    <t>[0, 1, 3, 7, 8, 11, 13, 14, 15, 17, 18, 19, 20, 21, 23, 24, 25, 26, 27, 28, 29, 30, 31, 32, 33, 34]</t>
  </si>
  <si>
    <t>[0, 1, 2, 3, 6, 7, 8, 9, 10, 11, 12, 14, 15, 19, 20, 21, 22, 23, 25, 26, 27, 28, 29, 30, 31, 32, 33]</t>
  </si>
  <si>
    <t>[0, 1, 6, 7, 8, 9, 10, 14, 15, 16, 18, 19, 20, 21, 22, 23, 25, 26, 27, 28, 29, 30, 31, 32, 33, 34, 35]</t>
  </si>
  <si>
    <t>[4, 6, 7, 8, 9, 10, 16, 17, 18, 20, 21, 22, 23, 24, 25, 26, 27]</t>
  </si>
  <si>
    <t>[0, 3, 4, 7, 9, 10, 12, 13, 15, 16, 17, 18, 19, 20, 21, 23, 24, 25, 27, 29]</t>
  </si>
  <si>
    <t>[4, 7, 8, 9, 10, 13, 15, 16, 17, 18, 19, 20, 21, 22, 23, 24, 25, 26, 27, 29]</t>
  </si>
  <si>
    <t>[1, 3, 4, 5, 6, 7, 8, 9, 10, 11, 12, 13, 14, 15, 17, 19, 20, 21, 22, 23, 24, 25, 26, 28, 29]</t>
  </si>
  <si>
    <t>[3, 4, 6, 7, 8, 9, 10, 13, 16, 17, 19, 20, 21, 22, 23, 24, 25, 26, 28, 29]</t>
  </si>
  <si>
    <t>[0, 1, 2, 3, 4, 8, 13, 14, 19, 20, 21, 22, 23, 24, 25, 26, 27, 29, 30, 31, 32, 33, 34]</t>
  </si>
  <si>
    <t>[0, 1, 2, 4, 8, 10, 11, 12, 13, 14, 19, 20, 21, 22, 23, 24, 25, 26, 27, 29, 30, 31, 32, 33, 34]</t>
  </si>
  <si>
    <t>[0, 2, 4, 5, 6, 8, 10, 13, 14, 15, 16, 17, 18, 19, 20, 21, 22, 23, 24, 25, 26, 27, 28, 29, 30, 31, 32, 33, 34, 35, 37]</t>
  </si>
  <si>
    <t>[0, 1, 4, 5, 8, 10, 13, 14, 16, 17, 18, 19, 20, 21, 22, 23, 24, 25, 26, 27, 28, 29, 30, 31, 32, 33, 34, 35, 36]</t>
  </si>
  <si>
    <t>[0, 2, 4, 5, 8, 10, 13, 14, 15, 16, 17, 18, 19, 20, 21, 22, 23, 24, 25, 26, 27, 28, 29, 30, 31, 32, 33, 34, 35, 37]</t>
  </si>
  <si>
    <t>[0, 1, 2, 4, 8, 9, 10, 11, 12, 13, 14, 16, 17, 18, 20, 21, 22, 23, 24, 25, 26, 27, 28, 29, 30, 31, 32, 33, 34, 35]</t>
  </si>
  <si>
    <t>[0, 1, 2, 5, 9, 13, 14, 15, 16, 17, 18, 19, 24, 25, 26, 29, 31]</t>
  </si>
  <si>
    <t>[0, 2, 6, 9, 10, 11, 13, 14, 15, 17, 18, 19, 20, 21, 22, 23, 24, 25, 26, 28, 29, 31, 32]</t>
  </si>
  <si>
    <t>[0, 2, 4, 6, 9, 10, 11, 13, 14, 15, 17, 18, 19, 20, 21, 22, 23, 24, 25, 26, 29, 31, 32]</t>
  </si>
  <si>
    <t>[0, 1, 3, 5, 7, 8, 9, 10, 11, 13, 14, 16, 17, 18, 19, 20, 24, 25, 26, 27, 28, 29, 30, 31, 32]</t>
  </si>
  <si>
    <t>[0, 1, 2, 5, 6, 7, 8, 9, 14, 15, 16, 17, 18, 19, 24, 25, 26, 28, 29, 31, 32]</t>
  </si>
  <si>
    <t>[0, 1, 2, 3, 4, 6, 10, 12, 15, 16, 17, 19, 22, 23, 24, 25, 26]</t>
  </si>
  <si>
    <t>[0, 1, 2, 3, 4, 6, 8, 10, 12, 16, 17, 19, 20, 22, 23, 24, 25]</t>
  </si>
  <si>
    <t>[0, 1, 4, 5, 6, 8, 10, 12, 13, 14, 15, 16, 17, 19, 20, 21, 22, 23, 24, 25, 26, 27]</t>
  </si>
  <si>
    <t>[0, 1, 4, 6, 8, 10, 12, 13, 14, 15, 16, 17, 19, 20, 21, 22, 23, 24, 25, 26, 27]</t>
  </si>
  <si>
    <t>[0, 1, 2, 4, 6, 7, 8, 9, 10, 12, 15, 16, 17, 18, 19, 20, 22, 23, 24, 25, 26]</t>
  </si>
  <si>
    <t>[0, 1, 2, 4, 6, 8, 9, 10, 12, 16, 17, 19, 20, 22, 23, 24, 25, 26, 27]</t>
  </si>
  <si>
    <t>[0, 1, 2, 4, 6, 7, 8, 9, 10, 11, 12, 14, 15, 16, 17, 20, 23, 24, 28]</t>
  </si>
  <si>
    <t>[0, 1, 2, 4, 6, 7, 8, 9, 10, 11, 12, 14, 15, 16, 17, 20, 23, 24, 27]</t>
  </si>
  <si>
    <t>[0, 1, 4, 6, 7, 8, 9, 10, 11, 12, 14, 15, 16, 17, 18, 20, 21, 23, 24, 25, 27, 28]</t>
  </si>
  <si>
    <t>[0, 1, 3, 4, 5, 6, 7, 8, 9, 10, 11, 14, 15, 16, 17, 18, 19, 20, 21, 22, 23, 24, 25, 27]</t>
  </si>
  <si>
    <t>[0, 1, 3, 4, 5, 6, 7, 8, 9, 10, 11, 13, 14, 15, 16, 17, 20, 21, 22, 23, 24, 25, 27]</t>
  </si>
  <si>
    <t>[4, 5, 6, 7, 8, 9, 12, 13, 14, 15, 19, 20, 23, 24, 26, 27, 28, 29, 30, 31, 32, 33, 34, 35, 36]</t>
  </si>
  <si>
    <t>[4, 5, 6, 7, 8, 9, 11, 12, 13, 14, 15, 19, 20, 23, 24, 26, 27, 28, 30, 31, 32, 33, 34, 35, 36]</t>
  </si>
  <si>
    <t>[1, 2, 3, 4, 5, 6, 7, 8, 9, 10, 11, 12, 13, 15, 16, 18, 19, 20, 21, 22, 23, 24, 25, 26, 27, 28, 29, 30, 31, 34, 35, 36]</t>
  </si>
  <si>
    <t>[3, 4, 5, 6, 7, 8, 9, 10, 11, 12, 13, 14, 15, 16, 19, 20, 22, 23, 24, 25, 26, 27, 28, 29, 30, 31, 32, 34, 35, 36]</t>
  </si>
  <si>
    <t>[2, 3, 4, 5, 6, 7, 8, 9, 11, 12, 15, 16, 17, 18, 19, 20, 21, 22, 23, 24, 25, 26, 27, 28, 30, 32, 33, 34, 35, 36]</t>
  </si>
  <si>
    <t>[3, 4, 5, 6, 7, 8, 9, 12, 13, 16, 17, 18, 19, 20, 21, 22, 23, 24, 25, 26, 27, 28, 29, 30, 31, 32, 33, 34, 35, 36]</t>
  </si>
  <si>
    <t>[2, 3, 4, 5, 6, 9, 10, 11, 14, 15, 16, 17, 18, 19, 20, 22, 24, 25, 26, 27, 28, 30]</t>
  </si>
  <si>
    <t>[1, 3, 4, 5, 6, 7, 9, 10, 11, 12, 14, 15, 16, 17, 18, 19, 21, 22, 23, 24, 25, 26, 27, 28, 30, 31, 32]</t>
  </si>
  <si>
    <t>[3, 4, 5, 6, 9, 10, 11, 14, 15, 16, 17, 19, 20, 21, 22, 24, 25, 26, 28, 29, 30, 31, 32, 33]</t>
  </si>
  <si>
    <t>[0, 1, 2, 3, 4, 5, 6, 7, 8, 10, 11, 12, 14, 15, 16, 17, 18, 19, 20, 21, 22, 23, 24, 25, 26, 27, 29, 30, 31, 33]</t>
  </si>
  <si>
    <t>[2, 4, 5, 6, 7, 8, 10, 11, 12, 13, 14, 15, 16, 17, 18, 19, 20, 21, 22, 23, 24, 25, 26, 27, 28, 29, 31, 32, 33]</t>
  </si>
  <si>
    <t>[3, 4, 5, 6, 7, 8, 9, 10, 11, 13, 14, 15, 16, 17, 18, 19, 20, 24, 29, 30, 31, 32, 33, 34]</t>
  </si>
  <si>
    <t>[2, 4, 5, 8, 9, 10, 11, 12, 13, 14, 15, 16, 17, 18, 19, 20, 21, 24, 25, 26, 27, 28, 29, 30, 31, 32, 33, 34, 35]</t>
  </si>
  <si>
    <t>[1, 2, 3, 4, 5, 7, 8, 9, 10, 11, 12, 13, 14, 15, 16, 17, 19, 20, 24, 26, 27, 28, 29, 30, 31, 32, 33, 34]</t>
  </si>
  <si>
    <t>[2, 3, 4, 5, 6, 7, 8, 9, 10, 11, 12, 13, 14, 16, 17, 19, 20, 21, 24, 26, 27, 28, 29, 30, 31, 32, 33, 34]</t>
  </si>
  <si>
    <t>[0, 2, 3, 5, 8, 9, 10, 12, 19, 20, 21, 22, 23, 24]</t>
  </si>
  <si>
    <t>[0, 2, 5, 7, 8, 9, 10, 11, 12, 13, 14, 15, 16, 19, 21, 22, 23, 24, 26]</t>
  </si>
  <si>
    <t>[0, 2, 5, 7, 8, 9, 10, 11, 12, 13, 14, 16, 19, 21, 22, 23, 24, 25, 26]</t>
  </si>
  <si>
    <t>[0, 1, 2, 3, 5, 7, 8, 9, 10, 12, 16, 18, 19, 21, 22, 23, 24, 25, 26, 27]</t>
  </si>
  <si>
    <t>[1, 6, 9, 10, 11, 12, 13, 14, 15, 16, 17, 18, 19, 20, 21, 22, 23, 24, 25, 30]</t>
  </si>
  <si>
    <t>[1, 6, 7, 9, 10, 11, 13, 14, 15, 16, 18, 19, 20, 21, 22, 23, 24, 25, 30, 31]</t>
  </si>
  <si>
    <t>[3, 4, 6, 8, 9, 10, 11, 12, 13, 14, 15, 16, 17, 18, 19, 20, 22, 23, 24, 25, 29, 30, 31]</t>
  </si>
  <si>
    <t>[1, 2, 3, 4, 6, 8, 9, 10, 11, 13, 14, 16, 18, 19, 20, 21, 22, 23, 24, 25, 26, 27, 28, 29, 31]</t>
  </si>
  <si>
    <t>[1, 4, 6, 8, 9, 10, 11, 13, 14, 16, 18, 19, 20, 21, 22, 23, 24, 25, 26, 27, 28, 30, 31]</t>
  </si>
  <si>
    <t>[0, 1, 4, 5, 6, 7, 8, 9, 10, 11, 13, 14, 16, 17, 18, 19, 21, 23, 24, 27, 28, 32, 33, 35]</t>
  </si>
  <si>
    <t>[0, 1, 4, 5, 6, 7, 8, 9, 10, 11, 12, 13, 14, 16, 17, 18, 19, 21, 22, 23, 24, 27, 32, 33, 35]</t>
  </si>
  <si>
    <t>[1, 2, 4, 5, 6, 8, 9, 10, 11, 12, 13, 14, 15, 16, 17, 18, 19, 21, 22, 23, 24, 25, 26, 27, 28, 29, 32, 33, 35]</t>
  </si>
  <si>
    <t>[1, 2, 4, 5, 6, 7, 8, 9, 10, 11, 12, 13, 14, 15, 16, 17, 18, 19, 20, 21, 22, 23, 24, 27, 32, 33, 34, 35]</t>
  </si>
  <si>
    <t>[0, 1, 2, 4, 5, 6, 7, 8, 9, 10, 11, 13, 16, 17, 18, 19, 20, 21, 22, 23, 24, 25, 26, 27, 30, 31, 32, 33, 34, 35]</t>
  </si>
  <si>
    <t>[0, 1, 2, 3, 4, 5, 6, 7, 8, 9, 10, 11, 16, 17, 18, 19, 20, 21, 22, 23, 24, 25, 26, 27, 32, 33, 34, 35]</t>
  </si>
  <si>
    <t>[1, 3, 4, 5, 6, 7, 8, 9, 13, 14, 15, 16, 17, 18, 21, 22, 23, 24, 26, 27, 31]</t>
  </si>
  <si>
    <t>[1, 5, 6, 7, 8, 9, 10, 11, 13, 14, 15, 16, 17, 18, 19, 21, 22, 23, 24, 25, 26, 27, 30, 31]</t>
  </si>
  <si>
    <t>[1, 2, 3, 4, 5, 7, 8, 9, 13, 14, 15, 17, 18, 19, 21, 22, 23, 24, 25, 26, 27, 28, 29, 31]</t>
  </si>
  <si>
    <t>[1, 2, 4, 5, 7, 8, 9, 12, 13, 14, 15, 16, 17, 18, 19, 21, 23, 24, 25, 26, 27, 28, 29, 31]</t>
  </si>
  <si>
    <t>[0, 2, 3, 4, 5, 6, 7, 8, 9, 10, 11, 14, 15, 16, 17, 22, 23, 24, 25, 28, 30, 31, 33, 34, 35]</t>
  </si>
  <si>
    <t>[1, 2, 3, 4, 5, 7, 8, 9, 10, 11, 12, 14, 15, 16, 17, 18, 19, 20, 21, 22, 23, 24, 25, 26, 28, 30, 31, 32, 33, 34, 35, 36]</t>
  </si>
  <si>
    <t>[1, 2, 3, 4, 5, 7, 8, 9, 10, 11, 14, 15, 16, 17, 18, 19, 20, 21, 22, 23, 24, 25, 26, 27, 28, 30, 31, 32, 33, 34, 35, 36]</t>
  </si>
  <si>
    <t>[1, 2, 3, 4, 5, 6, 7, 8, 9, 10, 11, 12, 14, 15, 16, 17, 18, 19, 20, 22, 23, 24, 25, 27, 28, 29, 30, 31, 32, 33, 34, 35, 36]</t>
  </si>
  <si>
    <t>[1, 2, 3, 4, 5, 6, 7, 8, 9, 10, 11, 12, 13, 14, 15, 16, 17, 20, 21, 22, 23, 24, 25, 28, 30, 31, 32, 33, 34, 35, 36]</t>
  </si>
  <si>
    <t>[0, 2, 3, 4, 5, 6, 7, 10, 14, 15, 18, 19, 20, 21, 22, 23, 24, 27, 28, 29, 30]</t>
  </si>
  <si>
    <t>[0, 1, 2, 3, 4, 5, 6, 8, 9, 10, 14, 15, 16, 17, 18, 19, 21, 22, 23, 24, 25, 26, 27, 28, 30]</t>
  </si>
  <si>
    <t>[0, 1, 2, 3, 4, 5, 6, 10, 13, 14, 15, 16, 17, 18, 19, 20, 21, 22, 27, 28, 29, 30, 31]</t>
  </si>
  <si>
    <t>[0, 2, 3, 5, 6, 7, 8, 9, 10, 11, 14, 15, 17, 18, 19, 20, 22, 23, 24, 25, 27, 28, 29, 30, 31]</t>
  </si>
  <si>
    <t>[0, 3, 5, 6, 7, 10, 13, 14, 15, 17, 18, 19, 20, 21, 22, 23, 24, 27, 28, 29, 30]</t>
  </si>
  <si>
    <t>[0, 1, 3, 4, 7, 9, 11, 15, 16, 17, 18, 19, 20, 21, 22, 23, 24, 25, 27, 28, 29, 30, 31, 32, 34, 35, 36, 38, 39, 40, 41, 42]</t>
  </si>
  <si>
    <t>[0, 1, 3, 4, 7, 9, 10, 11, 13, 15, 16, 17, 18, 19, 20, 21, 22, 23, 24, 25, 28, 29, 30, 32, 34, 35, 36, 38, 39, 40, 41, 42]</t>
  </si>
  <si>
    <t>[1, 2, 3, 5, 6, 7, 8, 9, 11, 12, 13, 14, 15, 16, 17, 18, 19, 20, 21, 22, 23, 24, 25, 26, 27, 28, 29, 30, 32, 33, 34, 35, 36, 37, 38, 39, 40, 41, 42]</t>
  </si>
  <si>
    <t>[1, 2, 3, 4, 7, 8, 9, 10, 11, 12, 13, 15, 16, 17, 18, 19, 20, 21, 22, 23, 24, 25, 26, 27, 28, 29, 30, 31, 32, 33, 34, 35, 38, 39, 40, 41, 42]</t>
  </si>
  <si>
    <t>[0, 1, 2, 3, 4, 6, 8, 9, 11, 14, 15, 16, 17, 18, 19, 20, 21, 22, 23, 24, 25, 28, 29, 30, 31, 32, 33, 34, 35, 36, 37, 38, 39, 40, 41, 42]</t>
  </si>
  <si>
    <t>[0, 1, 2, 3, 4, 5, 6, 9, 11, 14, 15, 16, 17, 18, 19, 20, 21, 22, 23, 24, 25, 26, 28, 29, 30, 31, 32, 33, 34, 35, 36, 38, 39, 40, 41, 42]</t>
  </si>
  <si>
    <t>[0, 1, 2, 4, 7, 11, 12, 13, 14, 15, 16, 17, 18, 19, 20, 24, 25, 26, 27, 28, 29, 30, 31, 32, 33, 36, 37, 38, 39, 40, 41, 42, 43, 44]</t>
  </si>
  <si>
    <t>[0, 1, 2, 4, 6, 7, 8, 11, 12, 13, 14, 15, 16, 17, 18, 19, 20, 23, 24, 25, 26, 27, 28, 29, 30, 31, 32, 34, 35, 36, 37, 38, 40, 41, 42, 43]</t>
  </si>
  <si>
    <t>[0, 1, 2, 7, 10, 11, 12, 13, 14, 15, 16, 17, 18, 19, 20, 21, 24, 25, 26, 27, 28, 29, 30, 31, 32, 33, 34, 36, 37, 38, 39, 40, 41, 42, 43, 44]</t>
  </si>
  <si>
    <t>[0, 1, 2, 5, 7, 11, 12, 13, 14, 15, 16, 17, 18, 19, 20, 22, 24, 25, 26, 27, 28, 29, 30, 31, 32, 33, 34, 35, 36, 37, 38, 39, 40, 41, 42, 43]</t>
  </si>
  <si>
    <t>[0, 1, 13, 14, 15, 16, 17, 18, 19, 20, 21, 22, 23, 24, 25]</t>
  </si>
  <si>
    <t>[2, 6, 7, 8, 9, 10, 11, 12, 13, 14, 15, 16, 17, 18, 19, 20, 21, 23, 24, 25, 26, 27]</t>
  </si>
  <si>
    <t>[1, 9, 10, 11, 12, 13, 14, 15, 16, 17, 18, 19, 20, 21, 22, 24, 25, 26, 27]</t>
  </si>
  <si>
    <t>[0, 1, 2, 3, 4, 5, 6, 7, 8, 9, 10, 11, 12, 14, 15, 17, 18, 19, 20, 21, 22, 23, 25, 26]</t>
  </si>
  <si>
    <t>[0, 1, 2, 3, 4, 5, 6, 7, 8, 9, 10, 11, 12, 13, 15, 17, 18, 19, 20, 21, 22, 23, 25]</t>
  </si>
  <si>
    <t>[0, 1, 2, 4, 7, 8, 9, 10, 16, 20, 21, 23, 24, 25, 26, 29, 30, 32, 33]</t>
  </si>
  <si>
    <t>[0, 4, 6, 7, 8, 9, 10, 11, 12, 13, 14, 15, 16, 20, 21, 22, 23, 24, 26, 27, 28, 29, 30, 31, 32, 33, 34, 35, 36, 37]</t>
  </si>
  <si>
    <t>[0, 4, 6, 7, 8, 9, 10, 12, 13, 14, 15, 16, 20, 21, 22, 23, 24, 26, 27, 28, 29, 30, 31, 32, 33, 34, 35, 36]</t>
  </si>
  <si>
    <t>[0, 1, 2, 3, 4, 5, 6, 7, 8, 9, 10, 12, 13, 14, 15, 16, 17, 18, 19, 20, 21, 22, 23, 24, 25, 26, 27, 28, 29, 30, 31, 32, 33, 34, 35, 36]</t>
  </si>
  <si>
    <t>[0, 1, 3, 4, 6, 7, 8, 9, 10, 12, 14, 16, 17, 20, 21, 22, 23, 24, 26, 27, 28, 29, 30, 31, 32, 33, 35]</t>
  </si>
  <si>
    <t>[0, 1, 2, 3, 8, 9, 10, 11, 12, 13, 15, 20, 21, 22, 23, 24, 27, 28, 30, 31, 32, 33, 36]</t>
  </si>
  <si>
    <t>[0, 1, 2, 3, 4, 8, 9, 10, 12, 13, 15, 17, 18, 20, 21, 22, 23, 24, 26, 27, 28, 30, 31, 33, 34, 35, 36]</t>
  </si>
  <si>
    <t>[0, 1, 2, 3, 4, 5, 8, 9, 10, 11, 12, 13, 16, 17, 18, 20, 21, 22, 24, 26, 27, 28, 30, 31, 32, 33, 35, 36]</t>
  </si>
  <si>
    <t>[0, 1, 2, 3, 8, 9, 10, 12, 13, 16, 20, 21, 22, 23, 24, 27, 28, 29, 30, 31, 32, 33, 34, 35, 36]</t>
  </si>
  <si>
    <t>[0, 1, 2, 3, 6, 11, 17, 18, 19, 20, 22, 23, 24, 25, 26, 27, 29, 30, 31, 32, 33, 34, 35]</t>
  </si>
  <si>
    <t>[0, 2, 3, 6, 10, 11, 17, 18, 19, 20, 21, 22, 23, 24, 25, 26, 27, 29, 31, 32, 33, 34, 35]</t>
  </si>
  <si>
    <t>[0, 3, 4, 6, 8, 11, 12, 13, 14, 15, 16, 17, 18, 19, 20, 21, 22, 23, 24, 25, 26, 27, 29, 30, 31, 32, 33, 34, 35]</t>
  </si>
  <si>
    <t>[0, 3, 6, 8, 11, 12, 13, 15, 16, 17, 18, 19, 20, 21, 22, 23, 24, 26, 27, 29, 30, 31, 32, 33, 34, 35, 36]</t>
  </si>
  <si>
    <t>[0, 2, 3, 6, 7, 8, 9, 10, 11, 12, 14, 16, 17, 18, 20, 21, 22, 23, 24, 25, 26, 29, 30, 31, 32, 33, 34, 35]</t>
  </si>
  <si>
    <t>[0, 1, 2, 3, 6, 8, 10, 11, 16, 17, 18, 20, 21, 22, 23, 24, 26, 27, 29, 30, 31, 32, 33, 34, 35]</t>
  </si>
  <si>
    <t>[0, 1, 2, 3, 6, 7, 8, 10, 11, 12, 13, 14, 15, 16, 17, 18, 20, 22, 23, 25, 28, 29, 30, 31, 33, 34, 35, 36]</t>
  </si>
  <si>
    <t>[0, 1, 2, 3, 6, 7, 8, 10, 11, 12, 13, 14, 15, 16, 17, 18, 20, 22, 23, 25, 28, 30, 31, 33, 34, 35, 36, 38]</t>
  </si>
  <si>
    <t>[1, 2, 3, 5, 6, 7, 8, 9, 10, 11, 12, 13, 14, 15, 16, 20, 22, 23, 24, 25, 26, 27, 28, 29, 30, 31, 33, 34, 35, 36, 37, 38, 39, 40]</t>
  </si>
  <si>
    <t>[2, 3, 6, 7, 8, 10, 11, 12, 13, 14, 15, 16, 17, 18, 20, 22, 23, 24, 25, 27, 28, 29, 30, 31, 33, 34, 35, 36, 38, 39, 40]</t>
  </si>
  <si>
    <t>[1, 2, 3, 4, 6, 7, 8, 10, 11, 12, 13, 14, 15, 17, 18, 19, 20, 22, 23, 24, 26, 27, 28, 29, 30, 31, 33, 34, 35, 36, 37, 38]</t>
  </si>
  <si>
    <t>[0, 1, 2, 3, 4, 6, 7, 8, 10, 11, 12, 13, 14, 15, 17, 18, 20, 22, 23, 24, 27, 28, 30, 31, 33, 34, 35, 36, 37, 38]</t>
  </si>
  <si>
    <t>[1, 4, 6, 7, 8, 9, 10, 11, 12, 13, 15, 16, 18, 19, 20, 21, 26, 27, 32, 33, 34, 35, 36, 37, 39, 40, 42]</t>
  </si>
  <si>
    <t>[1, 6, 7, 8, 9, 10, 11, 12, 13, 16, 18, 19, 20, 21, 22, 26, 27, 32, 33, 34, 35, 36, 37, 39, 40, 41, 42]</t>
  </si>
  <si>
    <t>[1, 4, 5, 6, 7, 8, 9, 10, 11, 12, 13, 14, 15, 16, 17, 18, 19, 20, 21, 26, 27, 31, 33, 34, 35, 36, 37, 39, 40, 41, 42]</t>
  </si>
  <si>
    <t>[0, 1, 2, 4, 5, 6, 7, 8, 9, 10, 11, 12, 13, 14, 15, 18, 19, 21, 22, 23, 24, 25, 26, 28, 29, 30, 31, 32, 33, 34, 35, 36, 37, 38, 39, 41]</t>
  </si>
  <si>
    <t>[0, 1, 2, 3, 4, 5, 6, 7, 8, 9, 10, 11, 12, 13, 15, 18, 19, 21, 22, 23, 24, 25, 26, 28, 29, 30, 31, 32, 33, 34, 35, 36, 37, 38, 39, 41]</t>
  </si>
  <si>
    <t>[0, 1, 5, 6, 7, 9, 10, 11, 12, 13, 14, 16, 17, 18, 19, 21, 22, 23, 25, 26, 28, 29, 31, 32, 34, 35, 36, 37, 38]</t>
  </si>
  <si>
    <t>[1, 5, 6, 7, 8, 9, 10, 11, 12, 13, 14, 15, 16, 17, 18, 19, 21, 22, 23, 24, 25, 26, 28, 29, 31, 32, 34, 35, 36, 37, 38]</t>
  </si>
  <si>
    <t>[1, 4, 5, 6, 7, 8, 10, 11, 12, 13, 14, 15, 16, 17, 18, 19, 20, 21, 22, 23, 24, 25, 26, 28, 29, 31, 32, 33, 34, 35, 36, 37, 38]</t>
  </si>
  <si>
    <t>[0, 1, 2, 3, 4, 5, 6, 7, 9, 10, 11, 12, 13, 14, 15, 16, 17, 18, 19, 20, 21, 22, 23, 24, 25, 26, 27, 28, 30, 31, 32, 35, 36, 37, 38]</t>
  </si>
  <si>
    <t>[0, 1, 2, 3, 5, 6, 7, 9, 10, 11, 12, 13, 14, 15, 16, 17, 18, 19, 20, 21, 22, 23, 25, 26, 27, 28, 31, 32, 33, 35, 36, 37, 38]</t>
  </si>
  <si>
    <t>[0, 2, 4, 5, 7, 8, 9, 10, 11, 12, 13, 14, 15, 16, 17, 18, 20, 21, 23, 27, 28]</t>
  </si>
  <si>
    <t>[0, 2, 3, 5, 7, 8, 9, 10, 11, 12, 13, 14, 15, 16, 17, 18, 20, 21, 23, 27, 28]</t>
  </si>
  <si>
    <t>[0, 1, 2, 3, 4, 5, 6, 7, 8, 9, 10, 11, 12, 14, 15, 16, 17, 20, 21, 22, 23, 27, 28]</t>
  </si>
  <si>
    <t>[0, 1, 2, 4, 5, 7, 8, 10, 11, 12, 13, 14, 16, 17, 18, 19, 20, 21, 22, 23, 24, 25, 26, 27, 28]</t>
  </si>
  <si>
    <t>[0, 1, 2, 4, 5, 7, 8, 9, 10, 11, 12, 13, 16, 17, 18, 20, 21, 22, 23, 26, 28]</t>
  </si>
  <si>
    <t>[0, 1, 3, 4, 6, 7, 8, 10, 11, 12, 13, 15, 19, 20, 21, 23, 25]</t>
  </si>
  <si>
    <t>[1, 2, 3, 5, 6, 7, 8, 10, 11, 12, 13, 14, 15, 16, 17, 18, 19, 20, 21, 22, 23, 24, 25]</t>
  </si>
  <si>
    <t>[1, 2, 3, 4, 6, 7, 8, 10, 12, 13, 14, 17, 18, 19, 20, 21, 22, 23, 25]</t>
  </si>
  <si>
    <t>[0, 1, 2, 3, 6, 7, 8, 11, 12, 13, 15, 16, 17, 18, 19, 20, 21, 22, 23, 25]</t>
  </si>
  <si>
    <t>[0, 1, 2, 3, 5, 6, 7, 8, 9, 11, 13, 15, 16, 17, 18, 19, 20, 21, 22, 23, 25]</t>
  </si>
  <si>
    <t>[0, 2, 3, 5, 8, 10, 11, 12, 14, 16, 17, 19, 20, 21, 22, 24, 27, 30]</t>
  </si>
  <si>
    <t>[0, 2, 3, 4, 5, 7, 8, 9, 10, 11, 12, 13, 14, 15, 17, 18, 20, 21, 22, 23, 24, 27, 29, 30]</t>
  </si>
  <si>
    <t>[0, 1, 2, 3, 4, 5, 8, 10, 11, 12, 13, 14, 16, 17, 18, 19, 20, 21, 22, 23, 27, 30]</t>
  </si>
  <si>
    <t>[0, 2, 3, 5, 6, 7, 8, 10, 11, 12, 14, 16, 17, 18, 19, 20, 22, 24, 26, 27, 28]</t>
  </si>
  <si>
    <t>[0, 2, 5, 6, 8, 10, 11, 12, 14, 16, 17, 18, 19, 20, 21, 22, 24, 26, 27]</t>
  </si>
  <si>
    <t>[4, 6, 7, 8, 9, 10, 12, 13, 14, 15, 16, 20, 23, 25, 26, 27, 29, 30, 32, 33, 35, 36]</t>
  </si>
  <si>
    <t>[4, 5, 6, 7, 8, 9, 10, 11, 12, 13, 15, 16, 20, 23, 26, 27, 28, 29, 30, 32, 33, 35, 36]</t>
  </si>
  <si>
    <t>[0, 1, 2, 6, 7, 8, 10, 13, 14, 15, 16, 17, 18, 19, 20, 21, 22, 23, 24, 25, 26, 27, 28, 29, 30, 32, 35, 36, 37]</t>
  </si>
  <si>
    <t>[0, 1, 2, 6, 7, 8, 9, 10, 13, 14, 15, 16, 17, 18, 19, 22, 23, 25, 26, 27, 28, 29, 30, 32, 36]</t>
  </si>
  <si>
    <t>[0, 1, 2, 3, 4, 5, 6, 7, 8, 9, 10, 11, 12, 13, 14, 15, 16, 17, 18, 19, 20, 21, 22, 23, 25, 26, 27, 28, 29, 30, 31, 32, 33, 34, 35, 36, 37]</t>
  </si>
  <si>
    <t>[3, 4, 5, 6, 7, 8, 9, 10, 13, 15, 16, 20, 21, 22, 23, 26, 27, 28, 29, 30, 31, 32, 33, 35, 36]</t>
  </si>
  <si>
    <t>[0, 1, 2, 4, 5, 7, 8, 9, 10, 11, 12, 13, 15, 16, 17, 23, 24, 26, 27, 28, 29, 31, 32, 33, 34, 36, 37, 43]</t>
  </si>
  <si>
    <t>[1, 2, 4, 5, 6, 7, 8, 9, 10, 11, 12, 13, 15, 16, 17, 23, 24, 26, 27, 28, 29, 30, 31, 32, 33, 34, 36, 43]</t>
  </si>
  <si>
    <t>[2, 3, 4, 5, 6, 7, 8, 9, 10, 11, 12, 13, 14, 15, 16, 17, 18, 19, 20, 21, 22, 23, 24, 27, 28, 29, 30, 31, 32, 33, 34, 35, 36, 38, 40, 41, 42, 43]</t>
  </si>
  <si>
    <t>[2, 4, 5, 6, 7, 8, 9, 10, 11, 12, 13, 14, 15, 16, 17, 18, 20, 23, 24, 27, 28, 29, 30, 31, 32, 33, 34, 35, 36, 37, 38, 39, 41, 42, 43]</t>
  </si>
  <si>
    <t>[0, 1, 2, 4, 5, 6, 7, 8, 9, 10, 11, 12, 13, 14, 15, 16, 17, 18, 19, 20, 21, 22, 23, 24, 25, 26, 27, 28, 29, 30, 31, 32, 33, 34, 35, 36, 37, 38, 40, 41, 42, 43]</t>
  </si>
  <si>
    <t>[0, 4, 5, 6, 7, 8, 9, 10, 11, 12, 13, 15, 16, 17, 18, 21, 23, 24, 26, 27, 28, 29, 30, 31, 32, 33, 34, 35, 36, 37, 43]</t>
  </si>
  <si>
    <t>[0, 2, 3, 4, 5, 7, 9, 11, 12, 13, 15, 16, 18, 19, 20, 21, 22, 23, 24, 25, 26, 27, 28, 29, 30, 31, 32, 34, 35, 37, 38, 39, 40, 41]</t>
  </si>
  <si>
    <t>[1, 2, 3, 4, 5, 7, 8, 9, 11, 12, 13, 14, 15, 16, 17, 18, 19, 20, 21, 22, 23, 24, 25, 26, 27, 28, 29, 30, 31, 32, 33, 34, 35, 37, 38, 39, 40, 41, 42]</t>
  </si>
  <si>
    <t>[2, 3, 4, 5, 7, 8, 9, 10, 11, 13, 14, 15, 16, 18, 19, 20, 21, 22, 23, 24, 25, 26, 27, 28, 29, 30, 31, 32, 33, 34, 35, 36, 37, 38, 39, 40, 41, 42]</t>
  </si>
  <si>
    <t>[0, 1, 2, 3, 4, 5, 8, 9, 10, 11, 13, 15, 16, 17, 18, 19, 20, 21, 22, 23, 24, 25, 26, 27, 28, 29, 30, 31, 32, 33, 34, 35, 37, 38, 39, 40, 41]</t>
  </si>
  <si>
    <t>[0, 1, 2, 3, 4, 5, 8, 9, 10, 11, 13, 15, 16, 17, 18, 19, 20, 21, 22, 23, 24, 25, 26, 27, 28, 29, 30, 31, 32, 34, 35, 37, 38, 39, 40, 41]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</si>
  <si>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</si>
  <si>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</si>
  <si>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</si>
  <si>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</si>
  <si>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</si>
  <si>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</si>
  <si>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</si>
  <si>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</si>
  <si>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</si>
  <si>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</si>
  <si>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</si>
  <si>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</si>
  <si>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</si>
  <si>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</si>
  <si>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</si>
  <si>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</si>
  <si>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</si>
  <si>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</si>
  <si>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</si>
  <si>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</si>
  <si>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</si>
  <si>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</si>
  <si>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</si>
  <si>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</si>
  <si>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</si>
  <si>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</si>
  <si>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</si>
  <si>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</si>
  <si>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</si>
  <si>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</si>
  <si>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</si>
  <si>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</si>
  <si>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</si>
  <si>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</si>
  <si>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</si>
  <si>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total</t>
  </si>
  <si>
    <t>mean</t>
  </si>
  <si>
    <t>std</t>
  </si>
  <si>
    <t>max</t>
  </si>
  <si>
    <t>min</t>
  </si>
  <si>
    <t>visual ge</t>
  </si>
  <si>
    <t>mden 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</si>
</sst>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164" fontId="2" fillId="0" borderId="0" xfId="0" applyNumberFormat="1" applyFont="1"/>
    <xf numFmtId="0" fontId="3" fillId="0" borderId="3" xfId="0" applyFont="1" applyBorder="1" applyAlignment="1">
      <alignment horizontal="center" vertical="top"/>
    </xf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C6DED-5D01-D542-A2F5-DB5FEDA74748}">
  <dimension ref="A1:P106"/>
  <sheetViews>
    <sheetView tabSelected="1" topLeftCell="A80" workbookViewId="0">
      <selection activeCell="L37" sqref="L37"/>
    </sheetView>
  </sheetViews>
  <sheetFormatPr defaultColWidth="11.42578125" defaultRowHeight="15"/>
  <sheetData>
    <row r="1" spans="1:16">
      <c r="A1" s="6"/>
      <c r="B1" s="7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</row>
    <row r="2" spans="1:16">
      <c r="A2" s="7">
        <v>0</v>
      </c>
      <c r="B2" s="6">
        <v>174</v>
      </c>
      <c r="C2" s="6" t="s">
        <v>15</v>
      </c>
      <c r="D2" s="6" t="s">
        <v>16</v>
      </c>
      <c r="E2" s="6">
        <v>0.51957456400000002</v>
      </c>
      <c r="F2" s="6">
        <v>0.52666873000000003</v>
      </c>
      <c r="G2" s="6">
        <v>0.52682863899999999</v>
      </c>
      <c r="H2" s="9">
        <v>0.03</v>
      </c>
      <c r="I2" s="6">
        <v>24.650075910000002</v>
      </c>
      <c r="J2" s="6">
        <v>118.57351490000001</v>
      </c>
      <c r="K2" s="6">
        <v>0.52682863899999999</v>
      </c>
      <c r="L2" s="6">
        <v>73.712311</v>
      </c>
      <c r="M2" s="6">
        <v>407.302909</v>
      </c>
      <c r="N2" s="6">
        <v>0.92</v>
      </c>
      <c r="O2" s="6" t="s">
        <v>17</v>
      </c>
      <c r="P2" s="6" t="s">
        <v>18</v>
      </c>
    </row>
    <row r="3" spans="1:16">
      <c r="A3" s="10">
        <v>1</v>
      </c>
      <c r="B3" s="6">
        <v>174</v>
      </c>
      <c r="C3" s="6" t="s">
        <v>15</v>
      </c>
      <c r="D3" s="6" t="s">
        <v>19</v>
      </c>
      <c r="E3" s="6">
        <v>0.34461003000000001</v>
      </c>
      <c r="F3" s="6">
        <v>0.34038055</v>
      </c>
      <c r="G3" s="6">
        <v>0.34055672999999997</v>
      </c>
      <c r="H3" s="9">
        <v>5.1999999999999998E-2</v>
      </c>
      <c r="I3" s="6">
        <v>27.522747989999999</v>
      </c>
      <c r="J3" s="6">
        <v>118.57351490000001</v>
      </c>
      <c r="K3" s="6">
        <v>0.34055672999999997</v>
      </c>
      <c r="L3" s="6">
        <v>38.155582000000003</v>
      </c>
      <c r="M3" s="6">
        <v>407.302909</v>
      </c>
      <c r="N3" s="6">
        <v>0.821428571</v>
      </c>
      <c r="O3" s="6" t="s">
        <v>17</v>
      </c>
      <c r="P3" s="6" t="s">
        <v>20</v>
      </c>
    </row>
    <row r="4" spans="1:16">
      <c r="A4" s="10">
        <v>2</v>
      </c>
      <c r="B4" s="6">
        <v>174</v>
      </c>
      <c r="C4" s="6" t="s">
        <v>15</v>
      </c>
      <c r="D4" s="6" t="s">
        <v>21</v>
      </c>
      <c r="E4" s="6">
        <v>0.58778400200000003</v>
      </c>
      <c r="F4" s="6">
        <v>0.571000705</v>
      </c>
      <c r="G4" s="6">
        <v>0.57135306600000002</v>
      </c>
      <c r="H4" s="9">
        <v>6.2E-2</v>
      </c>
      <c r="I4" s="6">
        <v>19.18231201</v>
      </c>
      <c r="J4" s="6">
        <v>118.57351490000001</v>
      </c>
      <c r="K4" s="6">
        <v>0.57135306600000002</v>
      </c>
      <c r="L4" s="6">
        <v>37.427601000000003</v>
      </c>
      <c r="M4" s="6">
        <v>407.302909</v>
      </c>
      <c r="N4" s="6">
        <v>0.79310344799999999</v>
      </c>
      <c r="O4" s="6" t="s">
        <v>17</v>
      </c>
      <c r="P4" s="6" t="s">
        <v>22</v>
      </c>
    </row>
    <row r="5" spans="1:16">
      <c r="A5" s="10">
        <v>3</v>
      </c>
      <c r="B5" s="6">
        <v>175</v>
      </c>
      <c r="C5" s="6" t="s">
        <v>15</v>
      </c>
      <c r="D5" s="6" t="s">
        <v>16</v>
      </c>
      <c r="E5" s="6">
        <v>0.53388234400000001</v>
      </c>
      <c r="F5" s="6">
        <v>0.53958268899999995</v>
      </c>
      <c r="G5" s="6">
        <v>0.53977354799999999</v>
      </c>
      <c r="H5" s="9">
        <v>3.5000000000000003E-2</v>
      </c>
      <c r="I5" s="6">
        <v>12.61849213</v>
      </c>
      <c r="J5" s="6">
        <v>102.0392878</v>
      </c>
      <c r="K5" s="6">
        <v>0.53977354799999999</v>
      </c>
      <c r="L5" s="6">
        <v>122.969386</v>
      </c>
      <c r="M5" s="6">
        <v>396.25804799999997</v>
      </c>
      <c r="N5" s="6">
        <v>0.91304347799999996</v>
      </c>
      <c r="O5" s="6" t="s">
        <v>23</v>
      </c>
      <c r="P5" s="6" t="s">
        <v>24</v>
      </c>
    </row>
    <row r="6" spans="1:16">
      <c r="A6" s="10">
        <v>4</v>
      </c>
      <c r="B6" s="6">
        <v>175</v>
      </c>
      <c r="C6" s="6" t="s">
        <v>15</v>
      </c>
      <c r="D6" s="6" t="s">
        <v>19</v>
      </c>
      <c r="E6" s="6">
        <v>0.43054574200000001</v>
      </c>
      <c r="F6" s="6">
        <v>0.411205074</v>
      </c>
      <c r="G6" s="6">
        <v>0.41155743500000003</v>
      </c>
      <c r="H6" s="9">
        <v>8.5999999999999993E-2</v>
      </c>
      <c r="I6" s="6">
        <v>18.124361990000001</v>
      </c>
      <c r="J6" s="6">
        <v>102.0392878</v>
      </c>
      <c r="K6" s="6">
        <v>0.41155743500000003</v>
      </c>
      <c r="L6" s="6">
        <v>48.117085000000003</v>
      </c>
      <c r="M6" s="6">
        <v>396.25804799999997</v>
      </c>
      <c r="N6" s="6">
        <v>0.77419354799999995</v>
      </c>
      <c r="O6" s="6" t="s">
        <v>25</v>
      </c>
      <c r="P6" s="6" t="s">
        <v>26</v>
      </c>
    </row>
    <row r="7" spans="1:16">
      <c r="A7" s="10">
        <v>5</v>
      </c>
      <c r="B7" s="6">
        <v>175</v>
      </c>
      <c r="C7" s="6" t="s">
        <v>15</v>
      </c>
      <c r="D7" s="6" t="s">
        <v>21</v>
      </c>
      <c r="E7" s="6">
        <v>0.59514522800000003</v>
      </c>
      <c r="F7" s="6">
        <v>0.57311487000000005</v>
      </c>
      <c r="G7" s="6">
        <v>0.57311487000000005</v>
      </c>
      <c r="H7" s="9">
        <v>0</v>
      </c>
      <c r="I7" s="6">
        <v>9.5142741199999996</v>
      </c>
      <c r="J7" s="6">
        <v>102.0392878</v>
      </c>
      <c r="K7" s="6">
        <v>0.57311487000000005</v>
      </c>
      <c r="L7" s="6">
        <v>49.922930000000001</v>
      </c>
      <c r="M7" s="6">
        <v>396.25804799999997</v>
      </c>
      <c r="N7" s="6">
        <v>0.83333333300000001</v>
      </c>
      <c r="O7" s="6" t="s">
        <v>27</v>
      </c>
      <c r="P7" s="6" t="s">
        <v>28</v>
      </c>
    </row>
    <row r="8" spans="1:16">
      <c r="A8" s="10">
        <v>6</v>
      </c>
      <c r="B8" s="6">
        <v>176</v>
      </c>
      <c r="C8" s="6" t="s">
        <v>15</v>
      </c>
      <c r="D8" s="6" t="s">
        <v>16</v>
      </c>
      <c r="E8" s="6">
        <v>0.51823660800000004</v>
      </c>
      <c r="F8" s="6">
        <v>0.52451511399999995</v>
      </c>
      <c r="G8" s="6">
        <v>0.52451511399999995</v>
      </c>
      <c r="H8" s="9">
        <v>0</v>
      </c>
      <c r="I8" s="6">
        <v>14.103551149999999</v>
      </c>
      <c r="J8" s="6">
        <v>91.404918910000006</v>
      </c>
      <c r="K8" s="6">
        <v>0.52451511399999995</v>
      </c>
      <c r="L8" s="6">
        <v>112.852025</v>
      </c>
      <c r="M8" s="6">
        <v>399.49296800000002</v>
      </c>
      <c r="N8" s="6">
        <v>1</v>
      </c>
      <c r="O8" s="6" t="s">
        <v>29</v>
      </c>
      <c r="P8" s="6" t="s">
        <v>29</v>
      </c>
    </row>
    <row r="9" spans="1:16">
      <c r="A9" s="10">
        <v>7</v>
      </c>
      <c r="B9" s="6">
        <v>176</v>
      </c>
      <c r="C9" s="6" t="s">
        <v>15</v>
      </c>
      <c r="D9" s="6" t="s">
        <v>19</v>
      </c>
      <c r="E9" s="6">
        <v>0.32129658500000002</v>
      </c>
      <c r="F9" s="6">
        <v>0.33033826599999999</v>
      </c>
      <c r="G9" s="6">
        <v>0.330919662</v>
      </c>
      <c r="H9" s="9">
        <v>0.17599999999999999</v>
      </c>
      <c r="I9" s="6">
        <v>79.558164120000001</v>
      </c>
      <c r="J9" s="6">
        <v>91.404918910000006</v>
      </c>
      <c r="K9" s="6">
        <v>0.330919662</v>
      </c>
      <c r="L9" s="6">
        <v>86.067673999999997</v>
      </c>
      <c r="M9" s="6">
        <v>399.49296800000002</v>
      </c>
      <c r="N9" s="6">
        <v>0.88571428600000002</v>
      </c>
      <c r="O9" s="6" t="s">
        <v>30</v>
      </c>
      <c r="P9" s="6" t="s">
        <v>31</v>
      </c>
    </row>
    <row r="10" spans="1:16">
      <c r="A10" s="10">
        <v>8</v>
      </c>
      <c r="B10" s="6">
        <v>176</v>
      </c>
      <c r="C10" s="6" t="s">
        <v>15</v>
      </c>
      <c r="D10" s="6" t="s">
        <v>21</v>
      </c>
      <c r="E10" s="6">
        <v>0.58853554600000002</v>
      </c>
      <c r="F10" s="6">
        <v>0.57408386199999994</v>
      </c>
      <c r="G10" s="6">
        <v>0.57434813200000001</v>
      </c>
      <c r="H10" s="9">
        <v>4.5999999999999999E-2</v>
      </c>
      <c r="I10" s="6">
        <v>25.25300717</v>
      </c>
      <c r="J10" s="6">
        <v>91.404918910000006</v>
      </c>
      <c r="K10" s="6">
        <v>0.57434813200000001</v>
      </c>
      <c r="L10" s="6">
        <v>57.356923999999999</v>
      </c>
      <c r="M10" s="6">
        <v>399.49296800000002</v>
      </c>
      <c r="N10" s="6">
        <v>0.71428571399999996</v>
      </c>
      <c r="O10" s="6" t="s">
        <v>32</v>
      </c>
      <c r="P10" s="6" t="s">
        <v>33</v>
      </c>
    </row>
    <row r="11" spans="1:16">
      <c r="A11" s="10">
        <v>9</v>
      </c>
      <c r="B11" s="6">
        <v>177</v>
      </c>
      <c r="C11" s="6" t="s">
        <v>15</v>
      </c>
      <c r="D11" s="6" t="s">
        <v>16</v>
      </c>
      <c r="E11" s="6">
        <v>0.52094874700000005</v>
      </c>
      <c r="F11" s="6">
        <v>0.52891132799999996</v>
      </c>
      <c r="G11" s="6">
        <v>0.52891132799999996</v>
      </c>
      <c r="H11" s="9">
        <v>0</v>
      </c>
      <c r="I11" s="6">
        <v>10.47515297</v>
      </c>
      <c r="J11" s="6">
        <v>104.2140181</v>
      </c>
      <c r="K11" s="6">
        <v>0.52891132799999996</v>
      </c>
      <c r="L11" s="6">
        <v>60.626511000000001</v>
      </c>
      <c r="M11" s="6">
        <v>394.894248</v>
      </c>
      <c r="N11" s="6">
        <v>1</v>
      </c>
      <c r="O11" s="6" t="s">
        <v>34</v>
      </c>
      <c r="P11" s="6" t="s">
        <v>34</v>
      </c>
    </row>
    <row r="12" spans="1:16">
      <c r="A12" s="10">
        <v>10</v>
      </c>
      <c r="B12" s="6">
        <v>177</v>
      </c>
      <c r="C12" s="6" t="s">
        <v>15</v>
      </c>
      <c r="D12" s="6" t="s">
        <v>19</v>
      </c>
      <c r="E12" s="6">
        <v>0.46242485100000003</v>
      </c>
      <c r="F12" s="6">
        <v>0.44785059900000002</v>
      </c>
      <c r="G12" s="6">
        <v>0.44785059900000002</v>
      </c>
      <c r="H12" s="9">
        <v>0</v>
      </c>
      <c r="I12" s="6">
        <v>6.8750312329999996</v>
      </c>
      <c r="J12" s="6">
        <v>104.2140181</v>
      </c>
      <c r="K12" s="6">
        <v>0.44785059900000002</v>
      </c>
      <c r="L12" s="6">
        <v>31.227765000000002</v>
      </c>
      <c r="M12" s="6">
        <v>394.894248</v>
      </c>
      <c r="N12" s="6">
        <v>1</v>
      </c>
      <c r="O12" s="6" t="s">
        <v>34</v>
      </c>
      <c r="P12" s="6" t="s">
        <v>34</v>
      </c>
    </row>
    <row r="13" spans="1:16">
      <c r="A13" s="10">
        <v>11</v>
      </c>
      <c r="B13" s="6">
        <v>177</v>
      </c>
      <c r="C13" s="6" t="s">
        <v>15</v>
      </c>
      <c r="D13" s="6" t="s">
        <v>21</v>
      </c>
      <c r="E13" s="6">
        <v>0.55078237200000002</v>
      </c>
      <c r="F13" s="6">
        <v>0.52924594800000002</v>
      </c>
      <c r="G13" s="6">
        <v>0.52924594800000002</v>
      </c>
      <c r="H13" s="9">
        <v>0</v>
      </c>
      <c r="I13" s="6">
        <v>8.4654808040000002</v>
      </c>
      <c r="J13" s="6">
        <v>104.2140181</v>
      </c>
      <c r="K13" s="6">
        <v>0.52924594800000002</v>
      </c>
      <c r="L13" s="6">
        <v>32.511254000000001</v>
      </c>
      <c r="M13" s="6">
        <v>394.894248</v>
      </c>
      <c r="N13" s="6">
        <v>0.67741935499999995</v>
      </c>
      <c r="O13" s="6" t="s">
        <v>34</v>
      </c>
      <c r="P13" s="6" t="s">
        <v>35</v>
      </c>
    </row>
    <row r="14" spans="1:16">
      <c r="A14" s="10">
        <v>12</v>
      </c>
      <c r="B14" s="6">
        <v>178</v>
      </c>
      <c r="C14" s="6" t="s">
        <v>15</v>
      </c>
      <c r="D14" s="6" t="s">
        <v>16</v>
      </c>
      <c r="E14" s="6">
        <v>0.55732245300000005</v>
      </c>
      <c r="F14" s="6">
        <v>0.562661199</v>
      </c>
      <c r="G14" s="6">
        <v>0.56270633400000003</v>
      </c>
      <c r="H14" s="9">
        <v>8.0000000000000002E-3</v>
      </c>
      <c r="I14" s="6">
        <v>5.3289868829999998</v>
      </c>
      <c r="J14" s="6">
        <v>95.045179840000003</v>
      </c>
      <c r="K14" s="6">
        <v>0.56270633400000003</v>
      </c>
      <c r="L14" s="6">
        <v>66.899614999999997</v>
      </c>
      <c r="M14" s="6">
        <v>378.302436</v>
      </c>
      <c r="N14" s="6">
        <v>0.86666666699999995</v>
      </c>
      <c r="O14" s="6" t="s">
        <v>36</v>
      </c>
      <c r="P14" s="6" t="s">
        <v>37</v>
      </c>
    </row>
    <row r="15" spans="1:16">
      <c r="A15" s="10">
        <v>13</v>
      </c>
      <c r="B15" s="6">
        <v>178</v>
      </c>
      <c r="C15" s="6" t="s">
        <v>15</v>
      </c>
      <c r="D15" s="6" t="s">
        <v>19</v>
      </c>
      <c r="E15" s="6">
        <v>0.40963765099999999</v>
      </c>
      <c r="F15" s="6">
        <v>0.41420014100000002</v>
      </c>
      <c r="G15" s="6">
        <v>0.41420014100000002</v>
      </c>
      <c r="H15" s="9">
        <v>0</v>
      </c>
      <c r="I15" s="6">
        <v>6.4551260470000003</v>
      </c>
      <c r="J15" s="6">
        <v>95.045179840000003</v>
      </c>
      <c r="K15" s="6">
        <v>0.41420014100000002</v>
      </c>
      <c r="L15" s="6">
        <v>40.272782999999997</v>
      </c>
      <c r="M15" s="6">
        <v>378.302436</v>
      </c>
      <c r="N15" s="6">
        <v>1</v>
      </c>
      <c r="O15" s="6" t="s">
        <v>38</v>
      </c>
      <c r="P15" s="6" t="s">
        <v>38</v>
      </c>
    </row>
    <row r="16" spans="1:16">
      <c r="A16" s="10">
        <v>14</v>
      </c>
      <c r="B16" s="6">
        <v>178</v>
      </c>
      <c r="C16" s="6" t="s">
        <v>15</v>
      </c>
      <c r="D16" s="6" t="s">
        <v>21</v>
      </c>
      <c r="E16" s="6">
        <v>0.62135469200000004</v>
      </c>
      <c r="F16" s="6">
        <v>0.606060606</v>
      </c>
      <c r="G16" s="6">
        <v>0.606060606</v>
      </c>
      <c r="H16" s="9">
        <v>0</v>
      </c>
      <c r="I16" s="6">
        <v>4.7712740900000004</v>
      </c>
      <c r="J16" s="6">
        <v>95.045179840000003</v>
      </c>
      <c r="K16" s="6">
        <v>0.606060606</v>
      </c>
      <c r="L16" s="6">
        <v>41.417372999999998</v>
      </c>
      <c r="M16" s="6">
        <v>378.302436</v>
      </c>
      <c r="N16" s="6">
        <v>0.76190476200000001</v>
      </c>
      <c r="O16" s="6" t="s">
        <v>39</v>
      </c>
      <c r="P16" s="6" t="s">
        <v>40</v>
      </c>
    </row>
    <row r="17" spans="1:16">
      <c r="A17" s="10">
        <v>15</v>
      </c>
      <c r="B17" s="6">
        <v>179</v>
      </c>
      <c r="C17" s="6" t="s">
        <v>15</v>
      </c>
      <c r="D17" s="6" t="s">
        <v>16</v>
      </c>
      <c r="E17" s="6">
        <v>0.52397745699999998</v>
      </c>
      <c r="F17" s="6">
        <v>0.53021252500000005</v>
      </c>
      <c r="G17" s="6">
        <v>0.53026668700000001</v>
      </c>
      <c r="H17" s="9">
        <v>0.01</v>
      </c>
      <c r="I17" s="6">
        <v>17.254838939999999</v>
      </c>
      <c r="J17" s="6">
        <v>88.102715020000005</v>
      </c>
      <c r="K17" s="6">
        <v>0.53026668700000001</v>
      </c>
      <c r="L17" s="6">
        <v>73.725215000000006</v>
      </c>
      <c r="M17" s="6">
        <v>395.87896499999999</v>
      </c>
      <c r="N17" s="6">
        <v>0.84</v>
      </c>
      <c r="O17" s="6" t="s">
        <v>41</v>
      </c>
      <c r="P17" s="6" t="s">
        <v>42</v>
      </c>
    </row>
    <row r="18" spans="1:16">
      <c r="A18" s="10">
        <v>16</v>
      </c>
      <c r="B18" s="6">
        <v>179</v>
      </c>
      <c r="C18" s="6" t="s">
        <v>15</v>
      </c>
      <c r="D18" s="6" t="s">
        <v>19</v>
      </c>
      <c r="E18" s="6">
        <v>0.44190486099999998</v>
      </c>
      <c r="F18" s="6">
        <v>0.43727977400000001</v>
      </c>
      <c r="G18" s="6">
        <v>0.44150810400000001</v>
      </c>
      <c r="H18" s="9">
        <v>0.95799999999999996</v>
      </c>
      <c r="I18" s="6">
        <v>18.842672109999999</v>
      </c>
      <c r="J18" s="6">
        <v>88.102715020000005</v>
      </c>
      <c r="K18" s="6">
        <v>0.44150810400000001</v>
      </c>
      <c r="L18" s="6">
        <v>50.483595000000001</v>
      </c>
      <c r="M18" s="6">
        <v>395.87896499999999</v>
      </c>
      <c r="N18" s="6">
        <v>0.83333333300000001</v>
      </c>
      <c r="O18" s="6" t="s">
        <v>43</v>
      </c>
      <c r="P18" s="6" t="s">
        <v>44</v>
      </c>
    </row>
    <row r="19" spans="1:16">
      <c r="A19" s="10">
        <v>17</v>
      </c>
      <c r="B19" s="6">
        <v>179</v>
      </c>
      <c r="C19" s="6" t="s">
        <v>15</v>
      </c>
      <c r="D19" s="6" t="s">
        <v>21</v>
      </c>
      <c r="E19" s="6">
        <v>0.57513948199999998</v>
      </c>
      <c r="F19" s="6">
        <v>0.57047216300000003</v>
      </c>
      <c r="G19" s="6">
        <v>0.57047216300000003</v>
      </c>
      <c r="H19" s="9">
        <v>0</v>
      </c>
      <c r="I19" s="6">
        <v>18.42941785</v>
      </c>
      <c r="J19" s="6">
        <v>88.102715020000005</v>
      </c>
      <c r="K19" s="6">
        <v>0.57047216300000003</v>
      </c>
      <c r="L19" s="6">
        <v>44.368022000000003</v>
      </c>
      <c r="M19" s="6">
        <v>395.87896499999999</v>
      </c>
      <c r="N19" s="6">
        <v>0.74193548399999998</v>
      </c>
      <c r="O19" s="6" t="s">
        <v>45</v>
      </c>
      <c r="P19" s="6" t="s">
        <v>46</v>
      </c>
    </row>
    <row r="20" spans="1:16">
      <c r="A20" s="10">
        <v>18</v>
      </c>
      <c r="B20" s="6">
        <v>180</v>
      </c>
      <c r="C20" s="6" t="s">
        <v>15</v>
      </c>
      <c r="D20" s="6" t="s">
        <v>16</v>
      </c>
      <c r="E20" s="6">
        <v>0.55487235000000001</v>
      </c>
      <c r="F20" s="6">
        <v>0.55789487299999996</v>
      </c>
      <c r="G20" s="6">
        <v>0.55789487299999996</v>
      </c>
      <c r="H20" s="9">
        <v>0</v>
      </c>
      <c r="I20" s="6">
        <v>5.8260569569999996</v>
      </c>
      <c r="J20" s="6">
        <v>111.61703009999999</v>
      </c>
      <c r="K20" s="6">
        <v>0.55789487299999996</v>
      </c>
      <c r="L20" s="6">
        <v>70.727956000000006</v>
      </c>
      <c r="M20" s="6">
        <v>365.94486599999999</v>
      </c>
      <c r="N20" s="6">
        <v>1</v>
      </c>
      <c r="O20" s="6" t="s">
        <v>47</v>
      </c>
      <c r="P20" s="6" t="s">
        <v>47</v>
      </c>
    </row>
    <row r="21" spans="1:16">
      <c r="A21" s="10">
        <v>19</v>
      </c>
      <c r="B21" s="6">
        <v>180</v>
      </c>
      <c r="C21" s="6" t="s">
        <v>15</v>
      </c>
      <c r="D21" s="6" t="s">
        <v>19</v>
      </c>
      <c r="E21" s="6">
        <v>0.46731540399999999</v>
      </c>
      <c r="F21" s="6">
        <v>0.44785059900000002</v>
      </c>
      <c r="G21" s="6">
        <v>0.44785059900000002</v>
      </c>
      <c r="H21" s="9">
        <v>0</v>
      </c>
      <c r="I21" s="6">
        <v>6.6984658240000003</v>
      </c>
      <c r="J21" s="6">
        <v>111.61703009999999</v>
      </c>
      <c r="K21" s="6">
        <v>0.44785059900000002</v>
      </c>
      <c r="L21" s="6">
        <v>47.506993999999999</v>
      </c>
      <c r="M21" s="6">
        <v>365.94486599999999</v>
      </c>
      <c r="N21" s="6">
        <v>0.73913043499999997</v>
      </c>
      <c r="O21" s="6" t="s">
        <v>48</v>
      </c>
      <c r="P21" s="6" t="s">
        <v>49</v>
      </c>
    </row>
    <row r="22" spans="1:16">
      <c r="A22" s="10">
        <v>20</v>
      </c>
      <c r="B22" s="6">
        <v>180</v>
      </c>
      <c r="C22" s="6" t="s">
        <v>15</v>
      </c>
      <c r="D22" s="6" t="s">
        <v>21</v>
      </c>
      <c r="E22" s="6">
        <v>0.60625541500000002</v>
      </c>
      <c r="F22" s="6">
        <v>0.60042283299999999</v>
      </c>
      <c r="G22" s="6">
        <v>0.60059901299999996</v>
      </c>
      <c r="H22" s="9">
        <v>2.9000000000000001E-2</v>
      </c>
      <c r="I22" s="6">
        <v>6.8760449890000004</v>
      </c>
      <c r="J22" s="6">
        <v>111.61703009999999</v>
      </c>
      <c r="K22" s="6">
        <v>0.60059901299999996</v>
      </c>
      <c r="L22" s="6">
        <v>47.099204999999998</v>
      </c>
      <c r="M22" s="6">
        <v>365.94486599999999</v>
      </c>
      <c r="N22" s="6">
        <v>0.73076923100000002</v>
      </c>
      <c r="O22" s="6" t="s">
        <v>50</v>
      </c>
      <c r="P22" s="6" t="s">
        <v>51</v>
      </c>
    </row>
    <row r="23" spans="1:16">
      <c r="A23" s="10">
        <v>21</v>
      </c>
      <c r="B23" s="6">
        <v>181</v>
      </c>
      <c r="C23" s="6" t="s">
        <v>15</v>
      </c>
      <c r="D23" s="6" t="s">
        <v>16</v>
      </c>
      <c r="E23" s="6">
        <v>0.52046811599999998</v>
      </c>
      <c r="F23" s="6">
        <v>0.52529015800000001</v>
      </c>
      <c r="G23" s="6">
        <v>0.52777726199999997</v>
      </c>
      <c r="H23" s="9">
        <v>0.47099999999999997</v>
      </c>
      <c r="I23" s="6">
        <v>11.441202880000001</v>
      </c>
      <c r="J23" s="6">
        <v>88.249169350000003</v>
      </c>
      <c r="K23" s="6">
        <v>0.52777726199999997</v>
      </c>
      <c r="L23" s="6">
        <v>66.123073000000005</v>
      </c>
      <c r="M23" s="6">
        <v>373.86964999999998</v>
      </c>
      <c r="N23" s="6">
        <v>0.84615384599999999</v>
      </c>
      <c r="O23" s="6" t="s">
        <v>52</v>
      </c>
      <c r="P23" s="6" t="s">
        <v>53</v>
      </c>
    </row>
    <row r="24" spans="1:16">
      <c r="A24" s="10">
        <v>22</v>
      </c>
      <c r="B24" s="6">
        <v>181</v>
      </c>
      <c r="C24" s="6" t="s">
        <v>15</v>
      </c>
      <c r="D24" s="6" t="s">
        <v>19</v>
      </c>
      <c r="E24" s="6">
        <v>0.34599458399999999</v>
      </c>
      <c r="F24" s="6">
        <v>0.340415786</v>
      </c>
      <c r="G24" s="6">
        <v>0.344996476</v>
      </c>
      <c r="H24" s="9">
        <v>1.3280000000000001</v>
      </c>
      <c r="I24" s="6">
        <v>18.626753090000001</v>
      </c>
      <c r="J24" s="6">
        <v>88.249169350000003</v>
      </c>
      <c r="K24" s="6">
        <v>0.344996476</v>
      </c>
      <c r="L24" s="6">
        <v>47.443153000000002</v>
      </c>
      <c r="M24" s="6">
        <v>373.86964999999998</v>
      </c>
      <c r="N24" s="6">
        <v>0.81818181800000001</v>
      </c>
      <c r="O24" s="6" t="s">
        <v>54</v>
      </c>
      <c r="P24" s="6" t="s">
        <v>55</v>
      </c>
    </row>
    <row r="25" spans="1:16">
      <c r="A25" s="10">
        <v>23</v>
      </c>
      <c r="B25" s="6">
        <v>181</v>
      </c>
      <c r="C25" s="6" t="s">
        <v>15</v>
      </c>
      <c r="D25" s="6" t="s">
        <v>21</v>
      </c>
      <c r="E25" s="6">
        <v>0.59196362300000005</v>
      </c>
      <c r="F25" s="6">
        <v>0.577167019</v>
      </c>
      <c r="G25" s="6">
        <v>0.577167019</v>
      </c>
      <c r="H25" s="9">
        <v>0</v>
      </c>
      <c r="I25" s="6">
        <v>13.862142090000001</v>
      </c>
      <c r="J25" s="6">
        <v>88.249169350000003</v>
      </c>
      <c r="K25" s="6">
        <v>0.577167019</v>
      </c>
      <c r="L25" s="6">
        <v>46.073174000000002</v>
      </c>
      <c r="M25" s="6">
        <v>373.86964999999998</v>
      </c>
      <c r="N25" s="6">
        <v>0.764705882</v>
      </c>
      <c r="O25" s="6" t="s">
        <v>56</v>
      </c>
      <c r="P25" s="6" t="s">
        <v>57</v>
      </c>
    </row>
    <row r="26" spans="1:16">
      <c r="A26" s="10">
        <v>24</v>
      </c>
      <c r="B26" s="6">
        <v>182</v>
      </c>
      <c r="C26" s="6" t="s">
        <v>15</v>
      </c>
      <c r="D26" s="6" t="s">
        <v>16</v>
      </c>
      <c r="E26" s="6">
        <v>0.54066215299999998</v>
      </c>
      <c r="F26" s="6">
        <v>0.547633602</v>
      </c>
      <c r="G26" s="6">
        <v>0.547633602</v>
      </c>
      <c r="H26" s="9">
        <v>0</v>
      </c>
      <c r="I26" s="6">
        <v>10.520982030000001</v>
      </c>
      <c r="J26" s="6">
        <v>83.709509130000001</v>
      </c>
      <c r="K26" s="6">
        <v>0.547633602</v>
      </c>
      <c r="L26" s="6">
        <v>78.089388999999997</v>
      </c>
      <c r="M26" s="6">
        <v>377.51222799999999</v>
      </c>
      <c r="N26" s="6">
        <v>1</v>
      </c>
      <c r="O26" s="6" t="s">
        <v>58</v>
      </c>
      <c r="P26" s="6" t="s">
        <v>58</v>
      </c>
    </row>
    <row r="27" spans="1:16">
      <c r="A27" s="10">
        <v>25</v>
      </c>
      <c r="B27" s="6">
        <v>182</v>
      </c>
      <c r="C27" s="6" t="s">
        <v>15</v>
      </c>
      <c r="D27" s="6" t="s">
        <v>19</v>
      </c>
      <c r="E27" s="6">
        <v>0.489768017</v>
      </c>
      <c r="F27" s="6">
        <v>0.484319944</v>
      </c>
      <c r="G27" s="6">
        <v>0.484848485</v>
      </c>
      <c r="H27" s="9">
        <v>0.109</v>
      </c>
      <c r="I27" s="6">
        <v>11.794548989999999</v>
      </c>
      <c r="J27" s="6">
        <v>83.709509130000001</v>
      </c>
      <c r="K27" s="6">
        <v>0.484848485</v>
      </c>
      <c r="L27" s="6">
        <v>58.869235000000003</v>
      </c>
      <c r="M27" s="6">
        <v>377.51222799999999</v>
      </c>
      <c r="N27" s="6">
        <v>0.91666666699999999</v>
      </c>
      <c r="O27" s="6" t="s">
        <v>59</v>
      </c>
      <c r="P27" s="6" t="s">
        <v>60</v>
      </c>
    </row>
    <row r="28" spans="1:16">
      <c r="A28" s="10">
        <v>26</v>
      </c>
      <c r="B28" s="6">
        <v>182</v>
      </c>
      <c r="C28" s="6" t="s">
        <v>15</v>
      </c>
      <c r="D28" s="6" t="s">
        <v>21</v>
      </c>
      <c r="E28" s="6">
        <v>0.60555204200000001</v>
      </c>
      <c r="F28" s="6">
        <v>0.597603946</v>
      </c>
      <c r="G28" s="6">
        <v>0.597603946</v>
      </c>
      <c r="H28" s="9">
        <v>0</v>
      </c>
      <c r="I28" s="6">
        <v>10.07508898</v>
      </c>
      <c r="J28" s="6">
        <v>83.709509130000001</v>
      </c>
      <c r="K28" s="6">
        <v>0.597603946</v>
      </c>
      <c r="L28" s="6">
        <v>56.189821000000002</v>
      </c>
      <c r="M28" s="6">
        <v>377.51222799999999</v>
      </c>
      <c r="N28" s="6">
        <v>0.64285714299999996</v>
      </c>
      <c r="O28" s="6" t="s">
        <v>61</v>
      </c>
      <c r="P28" s="6" t="s">
        <v>62</v>
      </c>
    </row>
    <row r="29" spans="1:16">
      <c r="A29" s="10">
        <v>27</v>
      </c>
      <c r="B29" s="6">
        <v>183</v>
      </c>
      <c r="C29" s="6" t="s">
        <v>15</v>
      </c>
      <c r="D29" s="6" t="s">
        <v>16</v>
      </c>
      <c r="E29" s="6">
        <v>0.54791334700000005</v>
      </c>
      <c r="F29" s="6">
        <v>0.55278938399999999</v>
      </c>
      <c r="G29" s="6">
        <v>0.55279970099999998</v>
      </c>
      <c r="H29" s="9">
        <v>2E-3</v>
      </c>
      <c r="I29" s="6">
        <v>4.7286860940000004</v>
      </c>
      <c r="J29" s="6">
        <v>93.919439789999998</v>
      </c>
      <c r="K29" s="6">
        <v>0.55279970099999998</v>
      </c>
      <c r="L29" s="6">
        <v>67.367384999999999</v>
      </c>
      <c r="M29" s="6">
        <v>369.40720199999998</v>
      </c>
      <c r="N29" s="6">
        <v>0.78947368399999995</v>
      </c>
      <c r="O29" s="6" t="s">
        <v>63</v>
      </c>
      <c r="P29" s="6" t="s">
        <v>64</v>
      </c>
    </row>
    <row r="30" spans="1:16">
      <c r="A30" s="10">
        <v>28</v>
      </c>
      <c r="B30" s="6">
        <v>183</v>
      </c>
      <c r="C30" s="6" t="s">
        <v>15</v>
      </c>
      <c r="D30" s="6" t="s">
        <v>19</v>
      </c>
      <c r="E30" s="6">
        <v>0.43603932699999998</v>
      </c>
      <c r="F30" s="6">
        <v>0.43833685700000002</v>
      </c>
      <c r="G30" s="6">
        <v>0.43833685700000002</v>
      </c>
      <c r="H30" s="9">
        <v>0</v>
      </c>
      <c r="I30" s="6">
        <v>10.401221039999999</v>
      </c>
      <c r="J30" s="6">
        <v>93.919439789999998</v>
      </c>
      <c r="K30" s="6">
        <v>0.43833685700000002</v>
      </c>
      <c r="L30" s="6">
        <v>41.674855999999998</v>
      </c>
      <c r="M30" s="6">
        <v>369.40720199999998</v>
      </c>
      <c r="N30" s="6">
        <v>0.95454545499999999</v>
      </c>
      <c r="O30" s="6" t="s">
        <v>65</v>
      </c>
      <c r="P30" s="6" t="s">
        <v>66</v>
      </c>
    </row>
    <row r="31" spans="1:16">
      <c r="A31" s="10">
        <v>29</v>
      </c>
      <c r="B31" s="6">
        <v>183</v>
      </c>
      <c r="C31" s="6" t="s">
        <v>15</v>
      </c>
      <c r="D31" s="6" t="s">
        <v>21</v>
      </c>
      <c r="E31" s="6">
        <v>0.60696001899999996</v>
      </c>
      <c r="F31" s="6">
        <v>0.59883720900000004</v>
      </c>
      <c r="G31" s="6">
        <v>0.59901338999999998</v>
      </c>
      <c r="H31" s="9">
        <v>2.9000000000000001E-2</v>
      </c>
      <c r="I31" s="6">
        <v>8.7476799490000001</v>
      </c>
      <c r="J31" s="6">
        <v>93.919439789999998</v>
      </c>
      <c r="K31" s="6">
        <v>0.59901338999999998</v>
      </c>
      <c r="L31" s="6">
        <v>49.526848000000001</v>
      </c>
      <c r="M31" s="6">
        <v>369.40720199999998</v>
      </c>
      <c r="N31" s="6">
        <v>0.81818181800000001</v>
      </c>
      <c r="O31" s="6" t="s">
        <v>67</v>
      </c>
      <c r="P31" s="6" t="s">
        <v>68</v>
      </c>
    </row>
    <row r="32" spans="1:16">
      <c r="A32" s="10">
        <v>30</v>
      </c>
      <c r="B32" s="6">
        <v>184</v>
      </c>
      <c r="C32" s="6" t="s">
        <v>15</v>
      </c>
      <c r="D32" s="6" t="s">
        <v>16</v>
      </c>
      <c r="E32" s="6">
        <v>0.54408887699999997</v>
      </c>
      <c r="F32" s="6">
        <v>0.54682244899999999</v>
      </c>
      <c r="G32" s="6">
        <v>0.54689466600000003</v>
      </c>
      <c r="H32" s="9">
        <v>1.2999999999999999E-2</v>
      </c>
      <c r="I32" s="6">
        <v>7.3831648830000001</v>
      </c>
      <c r="J32" s="6">
        <v>109.15062399999999</v>
      </c>
      <c r="K32" s="6">
        <v>0.54689466600000003</v>
      </c>
      <c r="L32" s="6">
        <v>87.005024000000006</v>
      </c>
      <c r="M32" s="6">
        <v>414.60107499999998</v>
      </c>
      <c r="N32" s="6">
        <v>0.9</v>
      </c>
      <c r="O32" s="6" t="s">
        <v>69</v>
      </c>
      <c r="P32" s="6" t="s">
        <v>70</v>
      </c>
    </row>
    <row r="33" spans="1:16">
      <c r="A33" s="10">
        <v>31</v>
      </c>
      <c r="B33" s="6">
        <v>184</v>
      </c>
      <c r="C33" s="6" t="s">
        <v>15</v>
      </c>
      <c r="D33" s="6" t="s">
        <v>19</v>
      </c>
      <c r="E33" s="6">
        <v>0.68369097300000004</v>
      </c>
      <c r="F33" s="6">
        <v>0.65785764599999996</v>
      </c>
      <c r="G33" s="6">
        <v>0.65785764599999996</v>
      </c>
      <c r="H33" s="9">
        <v>0</v>
      </c>
      <c r="I33" s="6">
        <v>6.0907638070000001</v>
      </c>
      <c r="J33" s="6">
        <v>109.15062399999999</v>
      </c>
      <c r="K33" s="6">
        <v>0.65785764599999996</v>
      </c>
      <c r="L33" s="6">
        <v>44.191336</v>
      </c>
      <c r="M33" s="6">
        <v>414.60107499999998</v>
      </c>
      <c r="N33" s="6">
        <v>0.78260869600000005</v>
      </c>
      <c r="O33" s="6" t="s">
        <v>69</v>
      </c>
      <c r="P33" s="6" t="s">
        <v>71</v>
      </c>
    </row>
    <row r="34" spans="1:16">
      <c r="A34" s="10">
        <v>32</v>
      </c>
      <c r="B34" s="6">
        <v>184</v>
      </c>
      <c r="C34" s="6" t="s">
        <v>15</v>
      </c>
      <c r="D34" s="6" t="s">
        <v>21</v>
      </c>
      <c r="E34" s="6">
        <v>0.53118171199999997</v>
      </c>
      <c r="F34" s="6">
        <v>0.53268146599999999</v>
      </c>
      <c r="G34" s="6">
        <v>0.53294573599999995</v>
      </c>
      <c r="H34" s="9">
        <v>0.05</v>
      </c>
      <c r="I34" s="6">
        <v>9.4605619910000005</v>
      </c>
      <c r="J34" s="6">
        <v>109.15062399999999</v>
      </c>
      <c r="K34" s="6">
        <v>0.53294573599999995</v>
      </c>
      <c r="L34" s="6">
        <v>50.045760000000001</v>
      </c>
      <c r="M34" s="6">
        <v>414.60107499999998</v>
      </c>
      <c r="N34" s="6">
        <v>0.88</v>
      </c>
      <c r="O34" s="6" t="s">
        <v>72</v>
      </c>
      <c r="P34" s="6" t="s">
        <v>73</v>
      </c>
    </row>
    <row r="35" spans="1:16">
      <c r="A35" s="10">
        <v>33</v>
      </c>
      <c r="B35" s="6">
        <v>185</v>
      </c>
      <c r="C35" s="6" t="s">
        <v>15</v>
      </c>
      <c r="D35" s="6" t="s">
        <v>16</v>
      </c>
      <c r="E35" s="6">
        <v>0.53051300499999998</v>
      </c>
      <c r="F35" s="6">
        <v>0.53327788099999995</v>
      </c>
      <c r="G35" s="6">
        <v>0.53360414700000003</v>
      </c>
      <c r="H35" s="9">
        <v>6.0999999999999999E-2</v>
      </c>
      <c r="I35" s="6">
        <v>9.6878669259999999</v>
      </c>
      <c r="J35" s="6">
        <v>92.079463239999995</v>
      </c>
      <c r="K35" s="6">
        <v>0.53360414700000003</v>
      </c>
      <c r="L35" s="6">
        <v>105.189322</v>
      </c>
      <c r="M35" s="6">
        <v>439.11139300000002</v>
      </c>
      <c r="N35" s="6">
        <v>0.92307692299999999</v>
      </c>
      <c r="O35" s="6" t="s">
        <v>74</v>
      </c>
      <c r="P35" s="6" t="s">
        <v>75</v>
      </c>
    </row>
    <row r="36" spans="1:16">
      <c r="A36" s="10">
        <v>34</v>
      </c>
      <c r="B36" s="6">
        <v>185</v>
      </c>
      <c r="C36" s="6" t="s">
        <v>15</v>
      </c>
      <c r="D36" s="6" t="s">
        <v>19</v>
      </c>
      <c r="E36" s="6">
        <v>0.67879699500000001</v>
      </c>
      <c r="F36" s="6">
        <v>0.65451021799999998</v>
      </c>
      <c r="G36" s="6">
        <v>0.65451021799999998</v>
      </c>
      <c r="H36" s="9">
        <v>0</v>
      </c>
      <c r="I36" s="6">
        <v>11.784255030000001</v>
      </c>
      <c r="J36" s="6">
        <v>92.079463239999995</v>
      </c>
      <c r="K36" s="6">
        <v>0.65451021799999998</v>
      </c>
      <c r="L36" s="6">
        <v>58.076062</v>
      </c>
      <c r="M36" s="6">
        <v>439.11139300000002</v>
      </c>
      <c r="N36" s="6">
        <v>0.82352941199999996</v>
      </c>
      <c r="O36" s="6" t="s">
        <v>76</v>
      </c>
      <c r="P36" s="6" t="s">
        <v>77</v>
      </c>
    </row>
    <row r="37" spans="1:16">
      <c r="A37" s="10">
        <v>35</v>
      </c>
      <c r="B37" s="6">
        <v>185</v>
      </c>
      <c r="C37" s="6" t="s">
        <v>15</v>
      </c>
      <c r="D37" s="6" t="s">
        <v>21</v>
      </c>
      <c r="E37" s="6">
        <v>0.50592427200000001</v>
      </c>
      <c r="F37" s="6">
        <v>0.493657505</v>
      </c>
      <c r="G37" s="6">
        <v>0.493657505</v>
      </c>
      <c r="H37" s="9">
        <v>0</v>
      </c>
      <c r="I37" s="6">
        <v>21.497052190000002</v>
      </c>
      <c r="J37" s="6">
        <v>92.079463239999995</v>
      </c>
      <c r="K37" s="6">
        <v>0.493657505</v>
      </c>
      <c r="L37" s="6">
        <v>59.276812999999997</v>
      </c>
      <c r="M37" s="6">
        <v>439.11139300000002</v>
      </c>
      <c r="N37" s="6">
        <v>0.81818181800000001</v>
      </c>
      <c r="O37" s="6" t="s">
        <v>78</v>
      </c>
      <c r="P37" s="6" t="s">
        <v>79</v>
      </c>
    </row>
    <row r="38" spans="1:16">
      <c r="A38" s="10">
        <v>36</v>
      </c>
      <c r="B38" s="6">
        <v>186</v>
      </c>
      <c r="C38" s="6" t="s">
        <v>15</v>
      </c>
      <c r="D38" s="6" t="s">
        <v>16</v>
      </c>
      <c r="E38" s="6">
        <v>0.53136398699999998</v>
      </c>
      <c r="F38" s="6">
        <v>0.53692097400000005</v>
      </c>
      <c r="G38" s="6">
        <v>0.53692097400000005</v>
      </c>
      <c r="H38" s="9">
        <v>0</v>
      </c>
      <c r="I38" s="6">
        <v>9.4678938390000003</v>
      </c>
      <c r="J38" s="6">
        <v>103.360769</v>
      </c>
      <c r="K38" s="6">
        <v>0.53692097400000005</v>
      </c>
      <c r="L38" s="6">
        <v>112.442768</v>
      </c>
      <c r="M38" s="6">
        <v>571.013824</v>
      </c>
      <c r="N38" s="6">
        <v>1</v>
      </c>
      <c r="O38" s="6" t="s">
        <v>80</v>
      </c>
      <c r="P38" s="6" t="s">
        <v>80</v>
      </c>
    </row>
    <row r="39" spans="1:16">
      <c r="A39" s="10">
        <v>37</v>
      </c>
      <c r="B39" s="6">
        <v>186</v>
      </c>
      <c r="C39" s="6" t="s">
        <v>15</v>
      </c>
      <c r="D39" s="6" t="s">
        <v>19</v>
      </c>
      <c r="E39" s="6">
        <v>0.66286598200000002</v>
      </c>
      <c r="F39" s="6">
        <v>0.64781536299999998</v>
      </c>
      <c r="G39" s="6">
        <v>0.64781536299999998</v>
      </c>
      <c r="H39" s="9">
        <v>0</v>
      </c>
      <c r="I39" s="6">
        <v>17.991520879999999</v>
      </c>
      <c r="J39" s="6">
        <v>103.360769</v>
      </c>
      <c r="K39" s="6">
        <v>0.64781536299999998</v>
      </c>
      <c r="L39" s="6">
        <v>51.884079</v>
      </c>
      <c r="M39" s="6">
        <v>571.013824</v>
      </c>
      <c r="N39" s="6">
        <v>0.7</v>
      </c>
      <c r="O39" s="6" t="s">
        <v>81</v>
      </c>
      <c r="P39" s="6" t="s">
        <v>82</v>
      </c>
    </row>
    <row r="40" spans="1:16">
      <c r="A40" s="10">
        <v>38</v>
      </c>
      <c r="B40" s="6">
        <v>186</v>
      </c>
      <c r="C40" s="6" t="s">
        <v>15</v>
      </c>
      <c r="D40" s="6" t="s">
        <v>21</v>
      </c>
      <c r="E40" s="6">
        <v>0.50083023900000001</v>
      </c>
      <c r="F40" s="6">
        <v>0.48661028899999997</v>
      </c>
      <c r="G40" s="6">
        <v>0.48661028899999997</v>
      </c>
      <c r="H40" s="9">
        <v>0</v>
      </c>
      <c r="I40" s="6">
        <v>14.37589693</v>
      </c>
      <c r="J40" s="6">
        <v>103.360769</v>
      </c>
      <c r="K40" s="6">
        <v>0.48661028899999997</v>
      </c>
      <c r="L40" s="6">
        <v>53.523882999999998</v>
      </c>
      <c r="M40" s="6">
        <v>571.013824</v>
      </c>
      <c r="N40" s="6">
        <v>0.787878788</v>
      </c>
      <c r="O40" s="6" t="s">
        <v>83</v>
      </c>
      <c r="P40" s="6" t="s">
        <v>84</v>
      </c>
    </row>
    <row r="41" spans="1:16">
      <c r="A41" s="10">
        <v>39</v>
      </c>
      <c r="B41" s="6">
        <v>187</v>
      </c>
      <c r="C41" s="6" t="s">
        <v>15</v>
      </c>
      <c r="D41" s="6" t="s">
        <v>16</v>
      </c>
      <c r="E41" s="6">
        <v>0.52624734100000004</v>
      </c>
      <c r="F41" s="6">
        <v>0.53035566899999997</v>
      </c>
      <c r="G41" s="6">
        <v>0.53035566899999997</v>
      </c>
      <c r="H41" s="9">
        <v>0</v>
      </c>
      <c r="I41" s="6">
        <v>11.649163959999999</v>
      </c>
      <c r="J41" s="6">
        <v>108.889657</v>
      </c>
      <c r="K41" s="6">
        <v>0.53035566899999997</v>
      </c>
      <c r="L41" s="6">
        <v>117.76284800000001</v>
      </c>
      <c r="M41" s="6">
        <v>548.25267099999996</v>
      </c>
      <c r="N41" s="6">
        <v>1</v>
      </c>
      <c r="O41" s="6" t="s">
        <v>85</v>
      </c>
      <c r="P41" s="6" t="s">
        <v>85</v>
      </c>
    </row>
    <row r="42" spans="1:16">
      <c r="A42" s="10">
        <v>40</v>
      </c>
      <c r="B42" s="6">
        <v>187</v>
      </c>
      <c r="C42" s="6" t="s">
        <v>15</v>
      </c>
      <c r="D42" s="6" t="s">
        <v>19</v>
      </c>
      <c r="E42" s="6">
        <v>0.67859135800000003</v>
      </c>
      <c r="F42" s="6">
        <v>0.657152925</v>
      </c>
      <c r="G42" s="6">
        <v>0.657152925</v>
      </c>
      <c r="H42" s="9">
        <v>0</v>
      </c>
      <c r="I42" s="6">
        <v>9.8361470700000009</v>
      </c>
      <c r="J42" s="6">
        <v>108.889657</v>
      </c>
      <c r="K42" s="6">
        <v>0.657152925</v>
      </c>
      <c r="L42" s="6">
        <v>52.041269</v>
      </c>
      <c r="M42" s="6">
        <v>548.25267099999996</v>
      </c>
      <c r="N42" s="6">
        <v>0.65625</v>
      </c>
      <c r="O42" s="6" t="s">
        <v>85</v>
      </c>
      <c r="P42" s="6" t="s">
        <v>86</v>
      </c>
    </row>
    <row r="43" spans="1:16">
      <c r="A43" s="10">
        <v>41</v>
      </c>
      <c r="B43" s="6">
        <v>187</v>
      </c>
      <c r="C43" s="6" t="s">
        <v>15</v>
      </c>
      <c r="D43" s="6" t="s">
        <v>21</v>
      </c>
      <c r="E43" s="6">
        <v>0.50717190099999998</v>
      </c>
      <c r="F43" s="6">
        <v>0.49744538399999999</v>
      </c>
      <c r="G43" s="6">
        <v>0.51541578600000004</v>
      </c>
      <c r="H43" s="9">
        <v>3.4870000000000001</v>
      </c>
      <c r="I43" s="6">
        <v>30.93433404</v>
      </c>
      <c r="J43" s="6">
        <v>108.889657</v>
      </c>
      <c r="K43" s="6">
        <v>0.51541578600000004</v>
      </c>
      <c r="L43" s="6">
        <v>65.023691999999997</v>
      </c>
      <c r="M43" s="6">
        <v>548.25267099999996</v>
      </c>
      <c r="N43" s="6">
        <v>0.86666666699999995</v>
      </c>
      <c r="O43" s="6" t="s">
        <v>87</v>
      </c>
      <c r="P43" s="6" t="s">
        <v>88</v>
      </c>
    </row>
    <row r="44" spans="1:16">
      <c r="A44" s="10">
        <v>42</v>
      </c>
      <c r="B44" s="6">
        <v>188</v>
      </c>
      <c r="C44" s="6" t="s">
        <v>15</v>
      </c>
      <c r="D44" s="6" t="s">
        <v>16</v>
      </c>
      <c r="E44" s="6">
        <v>0.55128241700000002</v>
      </c>
      <c r="F44" s="6">
        <v>0.55814763199999995</v>
      </c>
      <c r="G44" s="6">
        <v>0.55814763199999995</v>
      </c>
      <c r="H44" s="9">
        <v>0</v>
      </c>
      <c r="I44" s="6">
        <v>5.4370329379999998</v>
      </c>
      <c r="J44" s="6">
        <v>108.8407571</v>
      </c>
      <c r="K44" s="6">
        <v>0.55814763199999995</v>
      </c>
      <c r="L44" s="6">
        <v>105.539867</v>
      </c>
      <c r="M44" s="6">
        <v>459.45757400000002</v>
      </c>
      <c r="N44" s="6">
        <v>1</v>
      </c>
      <c r="O44" s="6" t="s">
        <v>89</v>
      </c>
      <c r="P44" s="6" t="s">
        <v>89</v>
      </c>
    </row>
    <row r="45" spans="1:16">
      <c r="A45" s="10">
        <v>43</v>
      </c>
      <c r="B45" s="6">
        <v>188</v>
      </c>
      <c r="C45" s="6" t="s">
        <v>15</v>
      </c>
      <c r="D45" s="6" t="s">
        <v>19</v>
      </c>
      <c r="E45" s="6">
        <v>0.54423237099999999</v>
      </c>
      <c r="F45" s="6">
        <v>0.55320648299999997</v>
      </c>
      <c r="G45" s="6">
        <v>0.55338266400000002</v>
      </c>
      <c r="H45" s="9">
        <v>3.2000000000000001E-2</v>
      </c>
      <c r="I45" s="6">
        <v>7.600238085</v>
      </c>
      <c r="J45" s="6">
        <v>108.8407571</v>
      </c>
      <c r="K45" s="6">
        <v>0.55338266400000002</v>
      </c>
      <c r="L45" s="6">
        <v>51.777011000000002</v>
      </c>
      <c r="M45" s="6">
        <v>459.45757400000002</v>
      </c>
      <c r="N45" s="6">
        <v>0.9</v>
      </c>
      <c r="O45" s="6" t="s">
        <v>90</v>
      </c>
      <c r="P45" s="6" t="s">
        <v>91</v>
      </c>
    </row>
    <row r="46" spans="1:16">
      <c r="A46" s="10">
        <v>44</v>
      </c>
      <c r="B46" s="6">
        <v>188</v>
      </c>
      <c r="C46" s="6" t="s">
        <v>15</v>
      </c>
      <c r="D46" s="6" t="s">
        <v>21</v>
      </c>
      <c r="E46" s="6">
        <v>0.62340665900000003</v>
      </c>
      <c r="F46" s="6">
        <v>0.60623678599999997</v>
      </c>
      <c r="G46" s="6">
        <v>0.60623678599999997</v>
      </c>
      <c r="H46" s="9">
        <v>0</v>
      </c>
      <c r="I46" s="6">
        <v>6.388288975</v>
      </c>
      <c r="J46" s="6">
        <v>108.8407571</v>
      </c>
      <c r="K46" s="6">
        <v>0.60623678599999997</v>
      </c>
      <c r="L46" s="6">
        <v>44.014009000000001</v>
      </c>
      <c r="M46" s="6">
        <v>459.45757400000002</v>
      </c>
      <c r="N46" s="6">
        <v>0.625</v>
      </c>
      <c r="O46" s="6" t="s">
        <v>90</v>
      </c>
      <c r="P46" s="6" t="s">
        <v>92</v>
      </c>
    </row>
    <row r="47" spans="1:16">
      <c r="A47" s="10">
        <v>45</v>
      </c>
      <c r="B47" s="6">
        <v>189</v>
      </c>
      <c r="C47" s="6" t="s">
        <v>15</v>
      </c>
      <c r="D47" s="6" t="s">
        <v>16</v>
      </c>
      <c r="E47" s="6">
        <v>0.53674162999999997</v>
      </c>
      <c r="F47" s="6">
        <v>0.54170019599999997</v>
      </c>
      <c r="G47" s="6">
        <v>0.54236949300000004</v>
      </c>
      <c r="H47" s="9">
        <v>0.123</v>
      </c>
      <c r="I47" s="6">
        <v>14.02903008</v>
      </c>
      <c r="J47" s="6">
        <v>150.93432970000001</v>
      </c>
      <c r="K47" s="6">
        <v>0.54236949300000004</v>
      </c>
      <c r="L47" s="6">
        <v>116.071268</v>
      </c>
      <c r="M47" s="6">
        <v>517.11269100000004</v>
      </c>
      <c r="N47" s="6">
        <v>0.81818181800000001</v>
      </c>
      <c r="O47" s="6" t="s">
        <v>93</v>
      </c>
      <c r="P47" s="6" t="s">
        <v>94</v>
      </c>
    </row>
    <row r="48" spans="1:16">
      <c r="A48" s="10">
        <v>46</v>
      </c>
      <c r="B48" s="6">
        <v>189</v>
      </c>
      <c r="C48" s="6" t="s">
        <v>15</v>
      </c>
      <c r="D48" s="6" t="s">
        <v>19</v>
      </c>
      <c r="E48" s="6">
        <v>0.67231728300000004</v>
      </c>
      <c r="F48" s="6">
        <v>0.65697674399999995</v>
      </c>
      <c r="G48" s="6">
        <v>0.65697674399999995</v>
      </c>
      <c r="H48" s="9">
        <v>0</v>
      </c>
      <c r="I48" s="6">
        <v>9.8422560689999994</v>
      </c>
      <c r="J48" s="6">
        <v>150.93432970000001</v>
      </c>
      <c r="K48" s="6">
        <v>0.65697674399999995</v>
      </c>
      <c r="L48" s="6">
        <v>52.001668000000002</v>
      </c>
      <c r="M48" s="6">
        <v>517.11269100000004</v>
      </c>
      <c r="N48" s="6">
        <v>0.72</v>
      </c>
      <c r="O48" s="6" t="s">
        <v>93</v>
      </c>
      <c r="P48" s="6" t="s">
        <v>95</v>
      </c>
    </row>
    <row r="49" spans="1:16">
      <c r="A49" s="10">
        <v>47</v>
      </c>
      <c r="B49" s="6">
        <v>189</v>
      </c>
      <c r="C49" s="6" t="s">
        <v>15</v>
      </c>
      <c r="D49" s="6" t="s">
        <v>21</v>
      </c>
      <c r="E49" s="6">
        <v>0.49338533200000001</v>
      </c>
      <c r="F49" s="6">
        <v>0.49374559499999998</v>
      </c>
      <c r="G49" s="6">
        <v>0.50977801300000003</v>
      </c>
      <c r="H49" s="9">
        <v>3.145</v>
      </c>
      <c r="I49" s="6">
        <v>11.71450806</v>
      </c>
      <c r="J49" s="6">
        <v>150.93432970000001</v>
      </c>
      <c r="K49" s="6">
        <v>0.50977801300000003</v>
      </c>
      <c r="L49" s="6">
        <v>64.820757</v>
      </c>
      <c r="M49" s="6">
        <v>517.11269100000004</v>
      </c>
      <c r="N49" s="6">
        <v>0.84615384599999999</v>
      </c>
      <c r="O49" s="6" t="s">
        <v>96</v>
      </c>
      <c r="P49" s="6" t="s">
        <v>97</v>
      </c>
    </row>
    <row r="50" spans="1:16">
      <c r="A50" s="10">
        <v>48</v>
      </c>
      <c r="B50" s="6">
        <v>190</v>
      </c>
      <c r="C50" s="6" t="s">
        <v>15</v>
      </c>
      <c r="D50" s="6" t="s">
        <v>16</v>
      </c>
      <c r="E50" s="6">
        <v>0.52686726299999997</v>
      </c>
      <c r="F50" s="6">
        <v>0.53114747799999995</v>
      </c>
      <c r="G50" s="6">
        <v>0.53181806499999995</v>
      </c>
      <c r="H50" s="9">
        <v>0.126</v>
      </c>
      <c r="I50" s="6">
        <v>19.147354839999998</v>
      </c>
      <c r="J50" s="6">
        <v>112.4271274</v>
      </c>
      <c r="K50" s="6">
        <v>0.53181806499999995</v>
      </c>
      <c r="L50" s="6">
        <v>97.272655</v>
      </c>
      <c r="M50" s="6">
        <v>452.08693799999998</v>
      </c>
      <c r="N50" s="6">
        <v>0.88461538500000003</v>
      </c>
      <c r="O50" s="6" t="s">
        <v>98</v>
      </c>
      <c r="P50" s="6" t="s">
        <v>99</v>
      </c>
    </row>
    <row r="51" spans="1:16">
      <c r="A51" s="10">
        <v>49</v>
      </c>
      <c r="B51" s="6">
        <v>190</v>
      </c>
      <c r="C51" s="6" t="s">
        <v>15</v>
      </c>
      <c r="D51" s="6" t="s">
        <v>19</v>
      </c>
      <c r="E51" s="6">
        <v>0.65481159499999997</v>
      </c>
      <c r="F51" s="6">
        <v>0.65697674399999995</v>
      </c>
      <c r="G51" s="6">
        <v>0.65697674399999995</v>
      </c>
      <c r="H51" s="9">
        <v>0</v>
      </c>
      <c r="I51" s="6">
        <v>14.40911794</v>
      </c>
      <c r="J51" s="6">
        <v>112.4271274</v>
      </c>
      <c r="K51" s="6">
        <v>0.65697674399999995</v>
      </c>
      <c r="L51" s="6">
        <v>56.183546999999997</v>
      </c>
      <c r="M51" s="6">
        <v>452.08693799999998</v>
      </c>
      <c r="N51" s="6">
        <v>0.78125</v>
      </c>
      <c r="O51" s="6" t="s">
        <v>100</v>
      </c>
      <c r="P51" s="6" t="s">
        <v>101</v>
      </c>
    </row>
    <row r="52" spans="1:16">
      <c r="A52" s="10">
        <v>50</v>
      </c>
      <c r="B52" s="6">
        <v>190</v>
      </c>
      <c r="C52" s="6" t="s">
        <v>15</v>
      </c>
      <c r="D52" s="6" t="s">
        <v>21</v>
      </c>
      <c r="E52" s="6">
        <v>0.50296309299999997</v>
      </c>
      <c r="F52" s="6">
        <v>0.48854827299999998</v>
      </c>
      <c r="G52" s="6">
        <v>0.48872445399999997</v>
      </c>
      <c r="H52" s="9">
        <v>3.5999999999999997E-2</v>
      </c>
      <c r="I52" s="6">
        <v>15.79514313</v>
      </c>
      <c r="J52" s="6">
        <v>112.4271274</v>
      </c>
      <c r="K52" s="6">
        <v>0.48872445399999997</v>
      </c>
      <c r="L52" s="6">
        <v>55.525573999999999</v>
      </c>
      <c r="M52" s="6">
        <v>452.08693799999998</v>
      </c>
      <c r="N52" s="6">
        <v>0.87096774200000004</v>
      </c>
      <c r="O52" s="6" t="s">
        <v>102</v>
      </c>
      <c r="P52" s="6" t="s">
        <v>103</v>
      </c>
    </row>
    <row r="53" spans="1:16">
      <c r="A53" s="10">
        <v>51</v>
      </c>
      <c r="B53" s="6">
        <v>191</v>
      </c>
      <c r="C53" s="6" t="s">
        <v>15</v>
      </c>
      <c r="D53" s="6" t="s">
        <v>16</v>
      </c>
      <c r="E53" s="6">
        <v>0.53987527400000002</v>
      </c>
      <c r="F53" s="6">
        <v>0.54291628000000003</v>
      </c>
      <c r="G53" s="6">
        <v>0.54291628000000003</v>
      </c>
      <c r="H53" s="9">
        <v>0</v>
      </c>
      <c r="I53" s="6">
        <v>19.48066592</v>
      </c>
      <c r="J53" s="6">
        <v>109.63351179999999</v>
      </c>
      <c r="K53" s="6">
        <v>0.54291628000000003</v>
      </c>
      <c r="L53" s="6">
        <v>106.627697</v>
      </c>
      <c r="M53" s="6">
        <v>550.76449100000002</v>
      </c>
      <c r="N53" s="6">
        <v>1</v>
      </c>
      <c r="O53" s="6" t="s">
        <v>104</v>
      </c>
      <c r="P53" s="6" t="s">
        <v>104</v>
      </c>
    </row>
    <row r="54" spans="1:16">
      <c r="A54" s="10">
        <v>52</v>
      </c>
      <c r="B54" s="6">
        <v>191</v>
      </c>
      <c r="C54" s="6" t="s">
        <v>15</v>
      </c>
      <c r="D54" s="6" t="s">
        <v>19</v>
      </c>
      <c r="E54" s="6">
        <v>0.66166402400000002</v>
      </c>
      <c r="F54" s="6">
        <v>0.65768146599999999</v>
      </c>
      <c r="G54" s="6">
        <v>0.65768146599999999</v>
      </c>
      <c r="H54" s="9">
        <v>0</v>
      </c>
      <c r="I54" s="6">
        <v>14.28959298</v>
      </c>
      <c r="J54" s="6">
        <v>109.63351179999999</v>
      </c>
      <c r="K54" s="6">
        <v>0.65768146599999999</v>
      </c>
      <c r="L54" s="6">
        <v>50.882505999999999</v>
      </c>
      <c r="M54" s="6">
        <v>550.76449100000002</v>
      </c>
      <c r="N54" s="6">
        <v>0.73076923100000002</v>
      </c>
      <c r="O54" s="6" t="s">
        <v>104</v>
      </c>
      <c r="P54" s="6" t="s">
        <v>105</v>
      </c>
    </row>
    <row r="55" spans="1:16">
      <c r="A55" s="10">
        <v>53</v>
      </c>
      <c r="B55" s="6">
        <v>191</v>
      </c>
      <c r="C55" s="6" t="s">
        <v>15</v>
      </c>
      <c r="D55" s="6" t="s">
        <v>21</v>
      </c>
      <c r="E55" s="6">
        <v>0.49039925499999998</v>
      </c>
      <c r="F55" s="6">
        <v>0.48185341799999998</v>
      </c>
      <c r="G55" s="6">
        <v>0.48264623000000001</v>
      </c>
      <c r="H55" s="9">
        <v>0.16400000000000001</v>
      </c>
      <c r="I55" s="6">
        <v>17.451100830000001</v>
      </c>
      <c r="J55" s="6">
        <v>109.63351179999999</v>
      </c>
      <c r="K55" s="6">
        <v>0.48264623000000001</v>
      </c>
      <c r="L55" s="6">
        <v>92.872411999999997</v>
      </c>
      <c r="M55" s="6">
        <v>550.76449100000002</v>
      </c>
      <c r="N55" s="6">
        <v>0.84615384599999999</v>
      </c>
      <c r="O55" s="6" t="s">
        <v>106</v>
      </c>
      <c r="P55" s="6" t="s">
        <v>107</v>
      </c>
    </row>
    <row r="56" spans="1:16">
      <c r="A56" s="10">
        <v>54</v>
      </c>
      <c r="B56" s="6">
        <v>192</v>
      </c>
      <c r="C56" s="6" t="s">
        <v>15</v>
      </c>
      <c r="D56" s="6" t="s">
        <v>16</v>
      </c>
      <c r="E56" s="6">
        <v>0.51425634099999995</v>
      </c>
      <c r="F56" s="6">
        <v>0.52316491300000001</v>
      </c>
      <c r="G56" s="6">
        <v>0.52316491300000001</v>
      </c>
      <c r="H56" s="9">
        <v>0</v>
      </c>
      <c r="I56" s="6">
        <v>26.084909920000001</v>
      </c>
      <c r="J56" s="6">
        <v>201.65899400000001</v>
      </c>
      <c r="K56" s="6">
        <v>0.52316491300000001</v>
      </c>
      <c r="L56" s="6">
        <v>87.185982999999993</v>
      </c>
      <c r="M56" s="6">
        <v>539.99480200000005</v>
      </c>
      <c r="N56" s="6">
        <v>1</v>
      </c>
      <c r="O56" s="6" t="s">
        <v>108</v>
      </c>
      <c r="P56" s="6" t="s">
        <v>108</v>
      </c>
    </row>
    <row r="57" spans="1:16">
      <c r="A57" s="10">
        <v>55</v>
      </c>
      <c r="B57" s="6">
        <v>192</v>
      </c>
      <c r="C57" s="6" t="s">
        <v>15</v>
      </c>
      <c r="D57" s="6" t="s">
        <v>19</v>
      </c>
      <c r="E57" s="6">
        <v>0.55423690599999997</v>
      </c>
      <c r="F57" s="6">
        <v>0.54281183899999996</v>
      </c>
      <c r="G57" s="6">
        <v>0.54281183899999996</v>
      </c>
      <c r="H57" s="9">
        <v>0</v>
      </c>
      <c r="I57" s="6">
        <v>14.71879506</v>
      </c>
      <c r="J57" s="6">
        <v>201.65899400000001</v>
      </c>
      <c r="K57" s="6">
        <v>0.54281183899999996</v>
      </c>
      <c r="L57" s="6">
        <v>65.042561000000006</v>
      </c>
      <c r="M57" s="6">
        <v>539.99480200000005</v>
      </c>
      <c r="N57" s="6">
        <v>0.93939393900000001</v>
      </c>
      <c r="O57" s="6" t="s">
        <v>109</v>
      </c>
      <c r="P57" s="6" t="s">
        <v>110</v>
      </c>
    </row>
    <row r="58" spans="1:16">
      <c r="A58" s="10">
        <v>56</v>
      </c>
      <c r="B58" s="6">
        <v>192</v>
      </c>
      <c r="C58" s="6" t="s">
        <v>15</v>
      </c>
      <c r="D58" s="6" t="s">
        <v>21</v>
      </c>
      <c r="E58" s="6">
        <v>0.57125092700000002</v>
      </c>
      <c r="F58" s="6">
        <v>0.55214940099999998</v>
      </c>
      <c r="G58" s="6">
        <v>0.55214940099999998</v>
      </c>
      <c r="H58" s="9">
        <v>0</v>
      </c>
      <c r="I58" s="6">
        <v>16.834916110000002</v>
      </c>
      <c r="J58" s="6">
        <v>201.65899400000001</v>
      </c>
      <c r="K58" s="6">
        <v>0.55214940099999998</v>
      </c>
      <c r="L58" s="6">
        <v>54.352294999999998</v>
      </c>
      <c r="M58" s="6">
        <v>539.99480200000005</v>
      </c>
      <c r="N58" s="6">
        <v>0.82857142900000003</v>
      </c>
      <c r="O58" s="6" t="s">
        <v>111</v>
      </c>
      <c r="P58" s="6" t="s">
        <v>112</v>
      </c>
    </row>
    <row r="59" spans="1:16">
      <c r="A59" s="10">
        <v>57</v>
      </c>
      <c r="B59" s="6">
        <v>193</v>
      </c>
      <c r="C59" s="6" t="s">
        <v>15</v>
      </c>
      <c r="D59" s="6" t="s">
        <v>16</v>
      </c>
      <c r="E59" s="6">
        <v>0.54369351600000004</v>
      </c>
      <c r="F59" s="6">
        <v>0.54702491499999994</v>
      </c>
      <c r="G59" s="6">
        <v>0.54702491499999994</v>
      </c>
      <c r="H59" s="9">
        <v>0</v>
      </c>
      <c r="I59" s="6">
        <v>7.9996109009999996</v>
      </c>
      <c r="J59" s="6">
        <v>117.70892240000001</v>
      </c>
      <c r="K59" s="6">
        <v>0.54702491499999994</v>
      </c>
      <c r="L59" s="6">
        <v>136.79031000000001</v>
      </c>
      <c r="M59" s="6">
        <v>577.26442799999995</v>
      </c>
      <c r="N59" s="6">
        <v>1</v>
      </c>
      <c r="O59" s="6" t="s">
        <v>113</v>
      </c>
      <c r="P59" s="6" t="s">
        <v>113</v>
      </c>
    </row>
    <row r="60" spans="1:16">
      <c r="A60" s="10">
        <v>58</v>
      </c>
      <c r="B60" s="6">
        <v>193</v>
      </c>
      <c r="C60" s="6" t="s">
        <v>15</v>
      </c>
      <c r="D60" s="6" t="s">
        <v>19</v>
      </c>
      <c r="E60" s="6">
        <v>0.67094095099999995</v>
      </c>
      <c r="F60" s="6">
        <v>0.62958069100000003</v>
      </c>
      <c r="G60" s="6">
        <v>0.62958069100000003</v>
      </c>
      <c r="H60" s="9">
        <v>0</v>
      </c>
      <c r="I60" s="6">
        <v>13.23379016</v>
      </c>
      <c r="J60" s="6">
        <v>117.70892240000001</v>
      </c>
      <c r="K60" s="6">
        <v>0.62958069100000003</v>
      </c>
      <c r="L60" s="6">
        <v>70.629721000000004</v>
      </c>
      <c r="M60" s="6">
        <v>577.26442799999995</v>
      </c>
      <c r="N60" s="6">
        <v>0.65517241400000004</v>
      </c>
      <c r="O60" s="6" t="s">
        <v>114</v>
      </c>
      <c r="P60" s="6" t="s">
        <v>115</v>
      </c>
    </row>
    <row r="61" spans="1:16">
      <c r="A61" s="10">
        <v>59</v>
      </c>
      <c r="B61" s="6">
        <v>193</v>
      </c>
      <c r="C61" s="6" t="s">
        <v>15</v>
      </c>
      <c r="D61" s="6" t="s">
        <v>21</v>
      </c>
      <c r="E61" s="6">
        <v>0.50644926800000001</v>
      </c>
      <c r="F61" s="6">
        <v>0.48608174799999998</v>
      </c>
      <c r="G61" s="6">
        <v>0.50158562399999995</v>
      </c>
      <c r="H61" s="9">
        <v>3.0910000000000002</v>
      </c>
      <c r="I61" s="6">
        <v>11.41124392</v>
      </c>
      <c r="J61" s="6">
        <v>117.70892240000001</v>
      </c>
      <c r="K61" s="6">
        <v>0.50158562399999995</v>
      </c>
      <c r="L61" s="6">
        <v>61.193494999999999</v>
      </c>
      <c r="M61" s="6">
        <v>577.26442799999995</v>
      </c>
      <c r="N61" s="6">
        <v>0.70370370400000004</v>
      </c>
      <c r="O61" s="6" t="s">
        <v>116</v>
      </c>
      <c r="P61" s="6" t="s">
        <v>117</v>
      </c>
    </row>
    <row r="62" spans="1:16">
      <c r="A62" s="10">
        <v>60</v>
      </c>
      <c r="B62" s="6">
        <v>194</v>
      </c>
      <c r="C62" s="6" t="s">
        <v>15</v>
      </c>
      <c r="D62" s="6" t="s">
        <v>16</v>
      </c>
      <c r="E62" s="6">
        <v>0.50322432699999997</v>
      </c>
      <c r="F62" s="6">
        <v>0.50630222800000002</v>
      </c>
      <c r="G62" s="6">
        <v>0.50635896999999996</v>
      </c>
      <c r="H62" s="9">
        <v>1.0999999999999999E-2</v>
      </c>
      <c r="I62" s="6">
        <v>25.94313884</v>
      </c>
      <c r="J62" s="6">
        <v>154.35059810000001</v>
      </c>
      <c r="K62" s="6">
        <v>0.50635896999999996</v>
      </c>
      <c r="L62" s="6">
        <v>99.329177999999999</v>
      </c>
      <c r="M62" s="6">
        <v>467.62151</v>
      </c>
      <c r="N62" s="6">
        <v>0.88235294099999995</v>
      </c>
      <c r="O62" s="6" t="s">
        <v>118</v>
      </c>
      <c r="P62" s="6" t="s">
        <v>119</v>
      </c>
    </row>
    <row r="63" spans="1:16">
      <c r="A63" s="10">
        <v>61</v>
      </c>
      <c r="B63" s="6">
        <v>194</v>
      </c>
      <c r="C63" s="6" t="s">
        <v>15</v>
      </c>
      <c r="D63" s="6" t="s">
        <v>19</v>
      </c>
      <c r="E63" s="6">
        <v>0.59997372800000004</v>
      </c>
      <c r="F63" s="6">
        <v>0.630725863</v>
      </c>
      <c r="G63" s="6">
        <v>0.630725863</v>
      </c>
      <c r="H63" s="9">
        <v>0</v>
      </c>
      <c r="I63" s="6">
        <v>45.086941959999997</v>
      </c>
      <c r="J63" s="6">
        <v>154.35059810000001</v>
      </c>
      <c r="K63" s="6">
        <v>0.630725863</v>
      </c>
      <c r="L63" s="6">
        <v>61.394362000000001</v>
      </c>
      <c r="M63" s="6">
        <v>467.62151</v>
      </c>
      <c r="N63" s="6">
        <v>0.80952380999999995</v>
      </c>
      <c r="O63" s="6" t="s">
        <v>120</v>
      </c>
      <c r="P63" s="6" t="s">
        <v>121</v>
      </c>
    </row>
    <row r="64" spans="1:16">
      <c r="A64" s="10">
        <v>62</v>
      </c>
      <c r="B64" s="6">
        <v>194</v>
      </c>
      <c r="C64" s="6" t="s">
        <v>15</v>
      </c>
      <c r="D64" s="6" t="s">
        <v>21</v>
      </c>
      <c r="E64" s="6">
        <v>0.51413294300000001</v>
      </c>
      <c r="F64" s="6">
        <v>0.50546159300000004</v>
      </c>
      <c r="G64" s="6">
        <v>0.50695912600000004</v>
      </c>
      <c r="H64" s="9">
        <v>0.29499999999999998</v>
      </c>
      <c r="I64" s="6">
        <v>24.411149980000001</v>
      </c>
      <c r="J64" s="6">
        <v>154.35059810000001</v>
      </c>
      <c r="K64" s="6">
        <v>0.50695912600000004</v>
      </c>
      <c r="L64" s="6">
        <v>55.389361000000001</v>
      </c>
      <c r="M64" s="6">
        <v>467.62151</v>
      </c>
      <c r="N64" s="6">
        <v>0.89473684200000003</v>
      </c>
      <c r="O64" s="6" t="s">
        <v>122</v>
      </c>
      <c r="P64" s="6" t="s">
        <v>123</v>
      </c>
    </row>
    <row r="65" spans="1:16">
      <c r="A65" s="10">
        <v>63</v>
      </c>
      <c r="B65" s="6">
        <v>195</v>
      </c>
      <c r="C65" s="6" t="s">
        <v>15</v>
      </c>
      <c r="D65" s="6" t="s">
        <v>16</v>
      </c>
      <c r="E65" s="6">
        <v>0.49476551899999999</v>
      </c>
      <c r="F65" s="6">
        <v>0.49897864400000003</v>
      </c>
      <c r="G65" s="6">
        <v>0.49897864400000003</v>
      </c>
      <c r="H65" s="9">
        <v>0</v>
      </c>
      <c r="I65" s="6">
        <v>56.588647129999998</v>
      </c>
      <c r="J65" s="6">
        <v>101.22393580000001</v>
      </c>
      <c r="K65" s="6">
        <v>0.49897864400000003</v>
      </c>
      <c r="L65" s="6">
        <v>87.630707999999998</v>
      </c>
      <c r="M65" s="6">
        <v>472.44138700000002</v>
      </c>
      <c r="N65" s="6">
        <v>1</v>
      </c>
      <c r="O65" s="6" t="s">
        <v>124</v>
      </c>
      <c r="P65" s="6" t="s">
        <v>124</v>
      </c>
    </row>
    <row r="66" spans="1:16">
      <c r="A66" s="10">
        <v>64</v>
      </c>
      <c r="B66" s="6">
        <v>195</v>
      </c>
      <c r="C66" s="6" t="s">
        <v>15</v>
      </c>
      <c r="D66" s="6" t="s">
        <v>19</v>
      </c>
      <c r="E66" s="6">
        <v>0.585268436</v>
      </c>
      <c r="F66" s="6">
        <v>0.63407329099999998</v>
      </c>
      <c r="G66" s="6">
        <v>0.63407329099999998</v>
      </c>
      <c r="H66" s="9">
        <v>0</v>
      </c>
      <c r="I66" s="6">
        <v>18.565068960000001</v>
      </c>
      <c r="J66" s="6">
        <v>101.22393580000001</v>
      </c>
      <c r="K66" s="6">
        <v>0.63407329099999998</v>
      </c>
      <c r="L66" s="6">
        <v>51.593214000000003</v>
      </c>
      <c r="M66" s="6">
        <v>472.44138700000002</v>
      </c>
      <c r="N66" s="6">
        <v>0.79487179500000005</v>
      </c>
      <c r="O66" s="6" t="s">
        <v>124</v>
      </c>
      <c r="P66" s="6" t="s">
        <v>125</v>
      </c>
    </row>
    <row r="67" spans="1:16">
      <c r="A67" s="10">
        <v>65</v>
      </c>
      <c r="B67" s="6">
        <v>195</v>
      </c>
      <c r="C67" s="6" t="s">
        <v>15</v>
      </c>
      <c r="D67" s="6" t="s">
        <v>21</v>
      </c>
      <c r="E67" s="6">
        <v>0.51976106600000005</v>
      </c>
      <c r="F67" s="6">
        <v>0.50687103600000005</v>
      </c>
      <c r="G67" s="6">
        <v>0.50687103600000005</v>
      </c>
      <c r="H67" s="9">
        <v>0</v>
      </c>
      <c r="I67" s="6">
        <v>21.888174060000001</v>
      </c>
      <c r="J67" s="6">
        <v>101.22393580000001</v>
      </c>
      <c r="K67" s="6">
        <v>0.50687103600000005</v>
      </c>
      <c r="L67" s="6">
        <v>86.797301000000004</v>
      </c>
      <c r="M67" s="6">
        <v>472.44138700000002</v>
      </c>
      <c r="N67" s="6">
        <v>0.84615384599999999</v>
      </c>
      <c r="O67" s="6" t="s">
        <v>126</v>
      </c>
      <c r="P67" s="6" t="s">
        <v>127</v>
      </c>
    </row>
    <row r="68" spans="1:16">
      <c r="A68" s="10">
        <v>66</v>
      </c>
      <c r="B68" s="6">
        <v>196</v>
      </c>
      <c r="C68" s="6" t="s">
        <v>15</v>
      </c>
      <c r="D68" s="6" t="s">
        <v>16</v>
      </c>
      <c r="E68" s="6">
        <v>0.557004579</v>
      </c>
      <c r="F68" s="6">
        <v>0.55791421600000002</v>
      </c>
      <c r="G68" s="6">
        <v>0.55791421600000002</v>
      </c>
      <c r="H68" s="9">
        <v>0</v>
      </c>
      <c r="I68" s="6">
        <v>10.20867395</v>
      </c>
      <c r="J68" s="6">
        <v>125.21343950000001</v>
      </c>
      <c r="K68" s="6">
        <v>0.55791421600000002</v>
      </c>
      <c r="L68" s="6">
        <v>99.065651000000003</v>
      </c>
      <c r="M68" s="6">
        <v>530.23883599999999</v>
      </c>
      <c r="N68" s="6">
        <v>1</v>
      </c>
      <c r="O68" s="6" t="s">
        <v>128</v>
      </c>
      <c r="P68" s="6" t="s">
        <v>128</v>
      </c>
    </row>
    <row r="69" spans="1:16">
      <c r="A69" s="10">
        <v>67</v>
      </c>
      <c r="B69" s="6">
        <v>196</v>
      </c>
      <c r="C69" s="6" t="s">
        <v>15</v>
      </c>
      <c r="D69" s="6" t="s">
        <v>19</v>
      </c>
      <c r="E69" s="6">
        <v>0.539042829</v>
      </c>
      <c r="F69" s="6">
        <v>0.52642706100000003</v>
      </c>
      <c r="G69" s="6">
        <v>0.53188865399999996</v>
      </c>
      <c r="H69" s="9">
        <v>1.0269999999999999</v>
      </c>
      <c r="I69" s="6">
        <v>62.116992000000003</v>
      </c>
      <c r="J69" s="6">
        <v>125.21343950000001</v>
      </c>
      <c r="K69" s="6">
        <v>0.53188865399999996</v>
      </c>
      <c r="L69" s="6">
        <v>59.350253000000002</v>
      </c>
      <c r="M69" s="6">
        <v>530.23883599999999</v>
      </c>
      <c r="N69" s="6">
        <v>0.70833333300000001</v>
      </c>
      <c r="O69" s="6" t="s">
        <v>129</v>
      </c>
      <c r="P69" s="6" t="s">
        <v>130</v>
      </c>
    </row>
    <row r="70" spans="1:16">
      <c r="A70" s="10">
        <v>68</v>
      </c>
      <c r="B70" s="6">
        <v>196</v>
      </c>
      <c r="C70" s="6" t="s">
        <v>15</v>
      </c>
      <c r="D70" s="6" t="s">
        <v>21</v>
      </c>
      <c r="E70" s="6">
        <v>0.58814744200000002</v>
      </c>
      <c r="F70" s="6">
        <v>0.590909091</v>
      </c>
      <c r="G70" s="6">
        <v>0.59143763199999999</v>
      </c>
      <c r="H70" s="9">
        <v>8.8999999999999996E-2</v>
      </c>
      <c r="I70" s="6">
        <v>6.866033077</v>
      </c>
      <c r="J70" s="6">
        <v>125.21343950000001</v>
      </c>
      <c r="K70" s="6">
        <v>0.59143763199999999</v>
      </c>
      <c r="L70" s="6">
        <v>81.277653000000001</v>
      </c>
      <c r="M70" s="6">
        <v>530.23883599999999</v>
      </c>
      <c r="N70" s="6">
        <v>0.88</v>
      </c>
      <c r="O70" s="6" t="s">
        <v>131</v>
      </c>
      <c r="P70" s="6" t="s">
        <v>132</v>
      </c>
    </row>
    <row r="71" spans="1:16">
      <c r="A71" s="10">
        <v>69</v>
      </c>
      <c r="B71" s="6">
        <v>197</v>
      </c>
      <c r="C71" s="6" t="s">
        <v>15</v>
      </c>
      <c r="D71" s="6" t="s">
        <v>16</v>
      </c>
      <c r="E71" s="6">
        <v>0.52993810100000005</v>
      </c>
      <c r="F71" s="6">
        <v>0.53716599600000003</v>
      </c>
      <c r="G71" s="6">
        <v>0.53716599600000003</v>
      </c>
      <c r="H71" s="9">
        <v>0</v>
      </c>
      <c r="I71" s="6">
        <v>17.074099060000002</v>
      </c>
      <c r="J71" s="6">
        <v>111.91445469999999</v>
      </c>
      <c r="K71" s="6">
        <v>0.53716599600000003</v>
      </c>
      <c r="L71" s="6">
        <v>98.443241999999998</v>
      </c>
      <c r="M71" s="6">
        <v>562.69377499999996</v>
      </c>
      <c r="N71" s="6">
        <v>1</v>
      </c>
      <c r="O71" s="6" t="s">
        <v>133</v>
      </c>
      <c r="P71" s="6" t="s">
        <v>133</v>
      </c>
    </row>
    <row r="72" spans="1:16">
      <c r="A72" s="10">
        <v>70</v>
      </c>
      <c r="B72" s="6">
        <v>197</v>
      </c>
      <c r="C72" s="6" t="s">
        <v>15</v>
      </c>
      <c r="D72" s="6" t="s">
        <v>19</v>
      </c>
      <c r="E72" s="6">
        <v>0.50455502799999996</v>
      </c>
      <c r="F72" s="6">
        <v>0.49048625800000001</v>
      </c>
      <c r="G72" s="6">
        <v>0.49048625800000001</v>
      </c>
      <c r="H72" s="9">
        <v>0</v>
      </c>
      <c r="I72" s="6">
        <v>16.837325100000001</v>
      </c>
      <c r="J72" s="6">
        <v>111.91445469999999</v>
      </c>
      <c r="K72" s="6">
        <v>0.49048625800000001</v>
      </c>
      <c r="L72" s="6">
        <v>88.637203</v>
      </c>
      <c r="M72" s="6">
        <v>562.69377499999996</v>
      </c>
      <c r="N72" s="6">
        <v>0.93333333299999999</v>
      </c>
      <c r="O72" s="6" t="s">
        <v>134</v>
      </c>
      <c r="P72" s="6" t="s">
        <v>135</v>
      </c>
    </row>
    <row r="73" spans="1:16">
      <c r="A73" s="10">
        <v>71</v>
      </c>
      <c r="B73" s="6">
        <v>197</v>
      </c>
      <c r="C73" s="6" t="s">
        <v>15</v>
      </c>
      <c r="D73" s="6" t="s">
        <v>21</v>
      </c>
      <c r="E73" s="6">
        <v>0.61866983900000005</v>
      </c>
      <c r="F73" s="6">
        <v>0.606589147</v>
      </c>
      <c r="G73" s="6">
        <v>0.606589147</v>
      </c>
      <c r="H73" s="9">
        <v>0</v>
      </c>
      <c r="I73" s="6">
        <v>14.960518840000001</v>
      </c>
      <c r="J73" s="6">
        <v>111.91445469999999</v>
      </c>
      <c r="K73" s="6">
        <v>0.606589147</v>
      </c>
      <c r="L73" s="6">
        <v>59.769705000000002</v>
      </c>
      <c r="M73" s="6">
        <v>562.69377499999996</v>
      </c>
      <c r="N73" s="6">
        <v>0.75</v>
      </c>
      <c r="O73" s="6" t="s">
        <v>136</v>
      </c>
      <c r="P73" s="6" t="s">
        <v>137</v>
      </c>
    </row>
    <row r="74" spans="1:16">
      <c r="A74" s="10">
        <v>72</v>
      </c>
      <c r="B74" s="6">
        <v>198</v>
      </c>
      <c r="C74" s="6" t="s">
        <v>15</v>
      </c>
      <c r="D74" s="6" t="s">
        <v>16</v>
      </c>
      <c r="E74" s="6">
        <v>0.53241389100000003</v>
      </c>
      <c r="F74" s="6">
        <v>0.53623104300000002</v>
      </c>
      <c r="G74" s="6">
        <v>0.53623104300000002</v>
      </c>
      <c r="H74" s="9">
        <v>0</v>
      </c>
      <c r="I74" s="6">
        <v>22.06000495</v>
      </c>
      <c r="J74" s="6">
        <v>110.3395548</v>
      </c>
      <c r="K74" s="6">
        <v>0.53623104300000002</v>
      </c>
      <c r="L74" s="6">
        <v>107.15682099999999</v>
      </c>
      <c r="M74" s="6">
        <v>571.38707499999998</v>
      </c>
      <c r="N74" s="6">
        <v>1</v>
      </c>
      <c r="O74" s="6" t="s">
        <v>138</v>
      </c>
      <c r="P74" s="6" t="s">
        <v>138</v>
      </c>
    </row>
    <row r="75" spans="1:16">
      <c r="A75" s="10">
        <v>73</v>
      </c>
      <c r="B75" s="6">
        <v>198</v>
      </c>
      <c r="C75" s="6" t="s">
        <v>15</v>
      </c>
      <c r="D75" s="6" t="s">
        <v>19</v>
      </c>
      <c r="E75" s="6">
        <v>0.64623607000000005</v>
      </c>
      <c r="F75" s="6">
        <v>0.63319238899999997</v>
      </c>
      <c r="G75" s="6">
        <v>0.63319238899999997</v>
      </c>
      <c r="H75" s="9">
        <v>0</v>
      </c>
      <c r="I75" s="6">
        <v>10.95696712</v>
      </c>
      <c r="J75" s="6">
        <v>110.3395548</v>
      </c>
      <c r="K75" s="6">
        <v>0.63319238899999997</v>
      </c>
      <c r="L75" s="6">
        <v>45.206307000000002</v>
      </c>
      <c r="M75" s="6">
        <v>571.38707499999998</v>
      </c>
      <c r="N75" s="6">
        <v>0.72413793100000001</v>
      </c>
      <c r="O75" s="6" t="s">
        <v>138</v>
      </c>
      <c r="P75" s="6" t="s">
        <v>139</v>
      </c>
    </row>
    <row r="76" spans="1:16">
      <c r="A76" s="10">
        <v>74</v>
      </c>
      <c r="B76" s="6">
        <v>198</v>
      </c>
      <c r="C76" s="6" t="s">
        <v>15</v>
      </c>
      <c r="D76" s="6" t="s">
        <v>21</v>
      </c>
      <c r="E76" s="6">
        <v>0.56192601099999995</v>
      </c>
      <c r="F76" s="6">
        <v>0.56025369999999997</v>
      </c>
      <c r="G76" s="6">
        <v>0.56042988000000005</v>
      </c>
      <c r="H76" s="9">
        <v>3.1E-2</v>
      </c>
      <c r="I76" s="6">
        <v>20.482583049999999</v>
      </c>
      <c r="J76" s="6">
        <v>110.3395548</v>
      </c>
      <c r="K76" s="6">
        <v>0.56042988000000005</v>
      </c>
      <c r="L76" s="6">
        <v>44.158709000000002</v>
      </c>
      <c r="M76" s="6">
        <v>571.38707499999998</v>
      </c>
      <c r="N76" s="6">
        <v>0.70967741900000003</v>
      </c>
      <c r="O76" s="6" t="s">
        <v>140</v>
      </c>
      <c r="P76" s="6" t="s">
        <v>141</v>
      </c>
    </row>
    <row r="77" spans="1:16">
      <c r="A77" s="10">
        <v>75</v>
      </c>
      <c r="B77" s="6">
        <v>199</v>
      </c>
      <c r="C77" s="6" t="s">
        <v>15</v>
      </c>
      <c r="D77" s="6" t="s">
        <v>16</v>
      </c>
      <c r="E77" s="6">
        <v>0.52783298599999995</v>
      </c>
      <c r="F77" s="6">
        <v>0.53348550500000003</v>
      </c>
      <c r="G77" s="6">
        <v>0.53384530100000005</v>
      </c>
      <c r="H77" s="9">
        <v>6.7000000000000004E-2</v>
      </c>
      <c r="I77" s="6">
        <v>16.366884949999999</v>
      </c>
      <c r="J77" s="6">
        <v>98.855041979999996</v>
      </c>
      <c r="K77" s="6">
        <v>0.53384530100000005</v>
      </c>
      <c r="L77" s="6">
        <v>214.90769299999999</v>
      </c>
      <c r="M77" s="6">
        <v>519.45569499999999</v>
      </c>
      <c r="N77" s="6">
        <v>0.84</v>
      </c>
      <c r="O77" s="6" t="s">
        <v>142</v>
      </c>
      <c r="P77" s="6" t="s">
        <v>143</v>
      </c>
    </row>
    <row r="78" spans="1:16">
      <c r="A78" s="10">
        <v>76</v>
      </c>
      <c r="B78" s="6">
        <v>199</v>
      </c>
      <c r="C78" s="6" t="s">
        <v>15</v>
      </c>
      <c r="D78" s="6" t="s">
        <v>19</v>
      </c>
      <c r="E78" s="6">
        <v>0.41629403500000001</v>
      </c>
      <c r="F78" s="6">
        <v>0.41296687799999998</v>
      </c>
      <c r="G78" s="6">
        <v>0.41349541899999998</v>
      </c>
      <c r="H78" s="9">
        <v>0.128</v>
      </c>
      <c r="I78" s="6">
        <v>20.294492009999999</v>
      </c>
      <c r="J78" s="6">
        <v>98.855041979999996</v>
      </c>
      <c r="K78" s="6">
        <v>0.41349541899999998</v>
      </c>
      <c r="L78" s="6">
        <v>111.53315600000001</v>
      </c>
      <c r="M78" s="6">
        <v>519.45569499999999</v>
      </c>
      <c r="N78" s="6">
        <v>0.86666666699999995</v>
      </c>
      <c r="O78" s="6" t="s">
        <v>144</v>
      </c>
      <c r="P78" s="6" t="s">
        <v>145</v>
      </c>
    </row>
    <row r="79" spans="1:16">
      <c r="A79" s="10">
        <v>77</v>
      </c>
      <c r="B79" s="6">
        <v>199</v>
      </c>
      <c r="C79" s="6" t="s">
        <v>15</v>
      </c>
      <c r="D79" s="6" t="s">
        <v>21</v>
      </c>
      <c r="E79" s="6">
        <v>0.61090474699999997</v>
      </c>
      <c r="F79" s="6">
        <v>0.60852713199999997</v>
      </c>
      <c r="G79" s="6">
        <v>0.60870331200000005</v>
      </c>
      <c r="H79" s="9">
        <v>2.9000000000000001E-2</v>
      </c>
      <c r="I79" s="6">
        <v>24.63971591</v>
      </c>
      <c r="J79" s="6">
        <v>98.855041979999996</v>
      </c>
      <c r="K79" s="6">
        <v>0.60870331200000005</v>
      </c>
      <c r="L79" s="6">
        <v>127.36243399999999</v>
      </c>
      <c r="M79" s="6">
        <v>519.45569499999999</v>
      </c>
      <c r="N79" s="6">
        <v>0.76666666699999997</v>
      </c>
      <c r="O79" s="6" t="s">
        <v>146</v>
      </c>
      <c r="P79" s="6" t="s">
        <v>147</v>
      </c>
    </row>
    <row r="80" spans="1:16">
      <c r="A80" s="10">
        <v>78</v>
      </c>
      <c r="B80" s="6">
        <v>200</v>
      </c>
      <c r="C80" s="6" t="s">
        <v>15</v>
      </c>
      <c r="D80" s="6" t="s">
        <v>16</v>
      </c>
      <c r="E80" s="6">
        <v>0.51225074699999995</v>
      </c>
      <c r="F80" s="6">
        <v>0.51871453599999995</v>
      </c>
      <c r="G80" s="6">
        <v>0.51879449099999997</v>
      </c>
      <c r="H80" s="9">
        <v>1.4999999999999999E-2</v>
      </c>
      <c r="I80" s="6">
        <v>26.214418890000001</v>
      </c>
      <c r="J80" s="6">
        <v>175.72520420000001</v>
      </c>
      <c r="K80" s="6">
        <v>0.51879449099999997</v>
      </c>
      <c r="L80" s="6">
        <v>84.354718000000005</v>
      </c>
      <c r="M80" s="6">
        <v>411.15699000000001</v>
      </c>
      <c r="N80" s="6">
        <v>0.93103448300000002</v>
      </c>
      <c r="O80" s="6" t="s">
        <v>148</v>
      </c>
      <c r="P80" s="6" t="s">
        <v>149</v>
      </c>
    </row>
    <row r="81" spans="1:16">
      <c r="A81" s="10">
        <v>79</v>
      </c>
      <c r="B81" s="6">
        <v>200</v>
      </c>
      <c r="C81" s="6" t="s">
        <v>15</v>
      </c>
      <c r="D81" s="6" t="s">
        <v>19</v>
      </c>
      <c r="E81" s="6">
        <v>0.62933238599999997</v>
      </c>
      <c r="F81" s="6">
        <v>0.65556730100000005</v>
      </c>
      <c r="G81" s="6">
        <v>0.65556730100000005</v>
      </c>
      <c r="H81" s="9">
        <v>0</v>
      </c>
      <c r="I81" s="6">
        <v>21.483750100000002</v>
      </c>
      <c r="J81" s="6">
        <v>175.72520420000001</v>
      </c>
      <c r="K81" s="6">
        <v>0.65556730100000005</v>
      </c>
      <c r="L81" s="6">
        <v>61.246153999999997</v>
      </c>
      <c r="M81" s="6">
        <v>411.15699000000001</v>
      </c>
      <c r="N81" s="6">
        <v>0.80555555599999995</v>
      </c>
      <c r="O81" s="6" t="s">
        <v>150</v>
      </c>
      <c r="P81" s="6" t="s">
        <v>151</v>
      </c>
    </row>
    <row r="82" spans="1:16">
      <c r="A82" s="10">
        <v>80</v>
      </c>
      <c r="B82" s="6">
        <v>200</v>
      </c>
      <c r="C82" s="6" t="s">
        <v>15</v>
      </c>
      <c r="D82" s="6" t="s">
        <v>21</v>
      </c>
      <c r="E82" s="6">
        <v>0.50214069900000002</v>
      </c>
      <c r="F82" s="6">
        <v>0.49550739999999999</v>
      </c>
      <c r="G82" s="6">
        <v>0.49621212100000001</v>
      </c>
      <c r="H82" s="9">
        <v>0.14199999999999999</v>
      </c>
      <c r="I82" s="6">
        <v>25.027683020000001</v>
      </c>
      <c r="J82" s="6">
        <v>175.72520420000001</v>
      </c>
      <c r="K82" s="6">
        <v>0.49621212100000001</v>
      </c>
      <c r="L82" s="6">
        <v>57.909230999999998</v>
      </c>
      <c r="M82" s="6">
        <v>411.15699000000001</v>
      </c>
      <c r="N82" s="6">
        <v>0.87878787899999999</v>
      </c>
      <c r="O82" s="6" t="s">
        <v>152</v>
      </c>
      <c r="P82" s="6" t="s">
        <v>153</v>
      </c>
    </row>
    <row r="83" spans="1:16">
      <c r="A83" s="10">
        <v>81</v>
      </c>
      <c r="B83" s="6">
        <v>201</v>
      </c>
      <c r="C83" s="6" t="s">
        <v>15</v>
      </c>
      <c r="D83" s="6" t="s">
        <v>16</v>
      </c>
      <c r="E83" s="6">
        <v>0.51826855100000002</v>
      </c>
      <c r="F83" s="6">
        <v>0.52217837600000006</v>
      </c>
      <c r="G83" s="6">
        <v>0.52247756099999998</v>
      </c>
      <c r="H83" s="9">
        <v>5.7000000000000002E-2</v>
      </c>
      <c r="I83" s="6">
        <v>53.49298787</v>
      </c>
      <c r="J83" s="6">
        <v>98.044370650000005</v>
      </c>
      <c r="K83" s="6">
        <v>0.52247756099999998</v>
      </c>
      <c r="L83" s="6">
        <v>93.553269</v>
      </c>
      <c r="M83" s="6">
        <v>388.55621400000001</v>
      </c>
      <c r="N83" s="6">
        <v>0.86206896600000005</v>
      </c>
      <c r="O83" s="6" t="s">
        <v>154</v>
      </c>
      <c r="P83" s="6" t="s">
        <v>155</v>
      </c>
    </row>
    <row r="84" spans="1:16">
      <c r="A84" s="10">
        <v>82</v>
      </c>
      <c r="B84" s="6">
        <v>201</v>
      </c>
      <c r="C84" s="6" t="s">
        <v>15</v>
      </c>
      <c r="D84" s="6" t="s">
        <v>19</v>
      </c>
      <c r="E84" s="6">
        <v>0.66186539</v>
      </c>
      <c r="F84" s="6">
        <v>0.65662438300000003</v>
      </c>
      <c r="G84" s="6">
        <v>0.65662438300000003</v>
      </c>
      <c r="H84" s="9">
        <v>0</v>
      </c>
      <c r="I84" s="6">
        <v>16.986816879999999</v>
      </c>
      <c r="J84" s="6">
        <v>98.044370650000005</v>
      </c>
      <c r="K84" s="6">
        <v>0.65662438300000003</v>
      </c>
      <c r="L84" s="6">
        <v>44.705460000000002</v>
      </c>
      <c r="M84" s="6">
        <v>388.55621400000001</v>
      </c>
      <c r="N84" s="6">
        <v>0.8125</v>
      </c>
      <c r="O84" s="6" t="s">
        <v>154</v>
      </c>
      <c r="P84" s="6" t="s">
        <v>156</v>
      </c>
    </row>
    <row r="85" spans="1:16">
      <c r="A85" s="10">
        <v>83</v>
      </c>
      <c r="B85" s="6">
        <v>201</v>
      </c>
      <c r="C85" s="6" t="s">
        <v>15</v>
      </c>
      <c r="D85" s="6" t="s">
        <v>21</v>
      </c>
      <c r="E85" s="6">
        <v>0.55174411000000001</v>
      </c>
      <c r="F85" s="6">
        <v>0.56069415099999997</v>
      </c>
      <c r="G85" s="6">
        <v>0.56183932299999995</v>
      </c>
      <c r="H85" s="9">
        <v>0.20399999999999999</v>
      </c>
      <c r="I85" s="6">
        <v>46.026676889999997</v>
      </c>
      <c r="J85" s="6">
        <v>98.044370650000005</v>
      </c>
      <c r="K85" s="6">
        <v>0.56183932299999995</v>
      </c>
      <c r="L85" s="6">
        <v>73.976595000000003</v>
      </c>
      <c r="M85" s="6">
        <v>388.55621400000001</v>
      </c>
      <c r="N85" s="6">
        <v>0.94594594600000004</v>
      </c>
      <c r="O85" s="6" t="s">
        <v>157</v>
      </c>
      <c r="P85" s="6" t="s">
        <v>158</v>
      </c>
    </row>
    <row r="86" spans="1:16">
      <c r="A86" s="10">
        <v>84</v>
      </c>
      <c r="B86" s="6">
        <v>202</v>
      </c>
      <c r="C86" s="6" t="s">
        <v>15</v>
      </c>
      <c r="D86" s="6" t="s">
        <v>16</v>
      </c>
      <c r="E86" s="6">
        <v>0.51181772299999995</v>
      </c>
      <c r="F86" s="6">
        <v>0.51685365699999997</v>
      </c>
      <c r="G86" s="6">
        <v>0.51685365699999997</v>
      </c>
      <c r="H86" s="9">
        <v>0</v>
      </c>
      <c r="I86" s="6">
        <v>17.537952900000001</v>
      </c>
      <c r="J86" s="6">
        <v>89.479946139999996</v>
      </c>
      <c r="K86" s="6">
        <v>0.51685365699999997</v>
      </c>
      <c r="L86" s="6">
        <v>72.001559</v>
      </c>
      <c r="M86" s="6">
        <v>395.07164899999998</v>
      </c>
      <c r="N86" s="6">
        <v>1</v>
      </c>
      <c r="O86" s="6" t="s">
        <v>159</v>
      </c>
      <c r="P86" s="6" t="s">
        <v>159</v>
      </c>
    </row>
    <row r="87" spans="1:16">
      <c r="A87" s="10">
        <v>85</v>
      </c>
      <c r="B87" s="6">
        <v>202</v>
      </c>
      <c r="C87" s="6" t="s">
        <v>15</v>
      </c>
      <c r="D87" s="6" t="s">
        <v>19</v>
      </c>
      <c r="E87" s="6">
        <v>0.59422093099999995</v>
      </c>
      <c r="F87" s="6">
        <v>0.630725863</v>
      </c>
      <c r="G87" s="6">
        <v>0.630725863</v>
      </c>
      <c r="H87" s="9">
        <v>0</v>
      </c>
      <c r="I87" s="6">
        <v>14.27052784</v>
      </c>
      <c r="J87" s="6">
        <v>89.479946139999996</v>
      </c>
      <c r="K87" s="6">
        <v>0.630725863</v>
      </c>
      <c r="L87" s="6">
        <v>58.288559999999997</v>
      </c>
      <c r="M87" s="6">
        <v>395.07164899999998</v>
      </c>
      <c r="N87" s="6">
        <v>0.88235294099999995</v>
      </c>
      <c r="O87" s="6" t="s">
        <v>160</v>
      </c>
      <c r="P87" s="6" t="s">
        <v>161</v>
      </c>
    </row>
    <row r="88" spans="1:16">
      <c r="A88" s="10">
        <v>86</v>
      </c>
      <c r="B88" s="6">
        <v>202</v>
      </c>
      <c r="C88" s="6" t="s">
        <v>15</v>
      </c>
      <c r="D88" s="6" t="s">
        <v>21</v>
      </c>
      <c r="E88" s="6">
        <v>0.498920107</v>
      </c>
      <c r="F88" s="6">
        <v>0.48731501100000002</v>
      </c>
      <c r="G88" s="6">
        <v>0.48731501100000002</v>
      </c>
      <c r="H88" s="9">
        <v>0</v>
      </c>
      <c r="I88" s="6">
        <v>15.10777807</v>
      </c>
      <c r="J88" s="6">
        <v>89.479946139999996</v>
      </c>
      <c r="K88" s="6">
        <v>0.48731501100000002</v>
      </c>
      <c r="L88" s="6">
        <v>46.484794999999998</v>
      </c>
      <c r="M88" s="6">
        <v>395.07164899999998</v>
      </c>
      <c r="N88" s="6">
        <v>0.88888888899999996</v>
      </c>
      <c r="O88" s="6" t="s">
        <v>162</v>
      </c>
      <c r="P88" s="6" t="s">
        <v>163</v>
      </c>
    </row>
    <row r="89" spans="1:16">
      <c r="A89" s="10">
        <v>87</v>
      </c>
      <c r="B89" s="6">
        <v>203</v>
      </c>
      <c r="C89" s="6" t="s">
        <v>15</v>
      </c>
      <c r="D89" s="6" t="s">
        <v>16</v>
      </c>
      <c r="E89" s="6">
        <v>0.54352476800000005</v>
      </c>
      <c r="F89" s="6">
        <v>0.54543227100000002</v>
      </c>
      <c r="G89" s="6">
        <v>0.54528912600000001</v>
      </c>
      <c r="H89" s="11">
        <v>0</v>
      </c>
      <c r="I89" s="6">
        <v>12.30300188</v>
      </c>
      <c r="J89" s="6">
        <v>95.726741079999996</v>
      </c>
      <c r="K89" s="6">
        <v>0.54528912600000001</v>
      </c>
      <c r="L89" s="6">
        <v>194.02400600000001</v>
      </c>
      <c r="M89" s="6">
        <v>431.74331599999999</v>
      </c>
      <c r="N89" s="6">
        <v>0.909090909</v>
      </c>
      <c r="O89" s="6" t="s">
        <v>164</v>
      </c>
      <c r="P89" s="6" t="s">
        <v>165</v>
      </c>
    </row>
    <row r="90" spans="1:16">
      <c r="A90" s="10">
        <v>88</v>
      </c>
      <c r="B90" s="6">
        <v>203</v>
      </c>
      <c r="C90" s="6" t="s">
        <v>15</v>
      </c>
      <c r="D90" s="6" t="s">
        <v>19</v>
      </c>
      <c r="E90" s="6">
        <v>0.67217820699999997</v>
      </c>
      <c r="F90" s="6">
        <v>0.65768146599999999</v>
      </c>
      <c r="G90" s="6">
        <v>0.65768146599999999</v>
      </c>
      <c r="H90" s="9">
        <v>0</v>
      </c>
      <c r="I90" s="6">
        <v>44.359968899999998</v>
      </c>
      <c r="J90" s="6">
        <v>95.726741079999996</v>
      </c>
      <c r="K90" s="6">
        <v>0.65768146599999999</v>
      </c>
      <c r="L90" s="6">
        <v>40.681139000000002</v>
      </c>
      <c r="M90" s="6">
        <v>431.74331599999999</v>
      </c>
      <c r="N90" s="6">
        <v>0.76</v>
      </c>
      <c r="O90" s="6" t="s">
        <v>164</v>
      </c>
      <c r="P90" s="6" t="s">
        <v>166</v>
      </c>
    </row>
    <row r="91" spans="1:16">
      <c r="A91" s="10">
        <v>89</v>
      </c>
      <c r="B91" s="6">
        <v>203</v>
      </c>
      <c r="C91" s="6" t="s">
        <v>15</v>
      </c>
      <c r="D91" s="6" t="s">
        <v>21</v>
      </c>
      <c r="E91" s="6">
        <v>0.54422295799999998</v>
      </c>
      <c r="F91" s="6">
        <v>0.52323819599999999</v>
      </c>
      <c r="G91" s="6">
        <v>0.52866455300000004</v>
      </c>
      <c r="H91" s="9">
        <v>1.026</v>
      </c>
      <c r="I91" s="6">
        <v>9.0222508910000005</v>
      </c>
      <c r="J91" s="6">
        <v>95.726741079999996</v>
      </c>
      <c r="K91" s="6">
        <v>0.52866455300000004</v>
      </c>
      <c r="L91" s="6">
        <v>57.524639999999998</v>
      </c>
      <c r="M91" s="6">
        <v>431.74331599999999</v>
      </c>
      <c r="N91" s="6">
        <v>0.76923076899999998</v>
      </c>
      <c r="O91" s="6" t="s">
        <v>167</v>
      </c>
      <c r="P91" s="6" t="s">
        <v>168</v>
      </c>
    </row>
    <row r="92" spans="1:16">
      <c r="A92" s="10">
        <v>90</v>
      </c>
      <c r="B92" s="6">
        <v>204</v>
      </c>
      <c r="C92" s="6" t="s">
        <v>15</v>
      </c>
      <c r="D92" s="6" t="s">
        <v>16</v>
      </c>
      <c r="E92" s="6">
        <v>0.54979523399999997</v>
      </c>
      <c r="F92" s="6">
        <v>0.55255338899999995</v>
      </c>
      <c r="G92" s="6">
        <v>0.55255338899999995</v>
      </c>
      <c r="H92" s="9">
        <v>0</v>
      </c>
      <c r="I92" s="6">
        <v>8.2757289410000006</v>
      </c>
      <c r="J92" s="6">
        <v>104.3574867</v>
      </c>
      <c r="K92" s="6">
        <v>0.55255338899999995</v>
      </c>
      <c r="L92" s="6">
        <v>75.239912000000004</v>
      </c>
      <c r="M92" s="6">
        <v>417.89945399999999</v>
      </c>
      <c r="N92" s="6">
        <v>1</v>
      </c>
      <c r="O92" s="6" t="s">
        <v>169</v>
      </c>
      <c r="P92" s="6" t="s">
        <v>169</v>
      </c>
    </row>
    <row r="93" spans="1:16">
      <c r="A93" s="10">
        <v>91</v>
      </c>
      <c r="B93" s="6">
        <v>204</v>
      </c>
      <c r="C93" s="6" t="s">
        <v>15</v>
      </c>
      <c r="D93" s="6" t="s">
        <v>19</v>
      </c>
      <c r="E93" s="6">
        <v>0.67830908400000001</v>
      </c>
      <c r="F93" s="6">
        <v>0.65539112099999997</v>
      </c>
      <c r="G93" s="6">
        <v>0.65539112099999997</v>
      </c>
      <c r="H93" s="9">
        <v>0</v>
      </c>
      <c r="I93" s="6">
        <v>6.1208431719999998</v>
      </c>
      <c r="J93" s="6">
        <v>104.3574867</v>
      </c>
      <c r="K93" s="6">
        <v>0.65539112099999997</v>
      </c>
      <c r="L93" s="6">
        <v>43.316273000000002</v>
      </c>
      <c r="M93" s="6">
        <v>417.89945399999999</v>
      </c>
      <c r="N93" s="6">
        <v>0.75</v>
      </c>
      <c r="O93" s="6" t="s">
        <v>170</v>
      </c>
      <c r="P93" s="6" t="s">
        <v>171</v>
      </c>
    </row>
    <row r="94" spans="1:16">
      <c r="A94" s="10">
        <v>92</v>
      </c>
      <c r="B94" s="6">
        <v>204</v>
      </c>
      <c r="C94" s="6" t="s">
        <v>15</v>
      </c>
      <c r="D94" s="6" t="s">
        <v>21</v>
      </c>
      <c r="E94" s="6">
        <v>0.55329304400000001</v>
      </c>
      <c r="F94" s="6">
        <v>0.55241367200000002</v>
      </c>
      <c r="G94" s="6">
        <v>0.55364693399999998</v>
      </c>
      <c r="H94" s="9">
        <v>0.223</v>
      </c>
      <c r="I94" s="6">
        <v>7.718817949</v>
      </c>
      <c r="J94" s="6">
        <v>104.3574867</v>
      </c>
      <c r="K94" s="6">
        <v>0.55364693399999998</v>
      </c>
      <c r="L94" s="6">
        <v>48.222109000000003</v>
      </c>
      <c r="M94" s="6">
        <v>417.89945399999999</v>
      </c>
      <c r="N94" s="6">
        <v>0.86363636399999999</v>
      </c>
      <c r="O94" s="6" t="s">
        <v>172</v>
      </c>
      <c r="P94" s="6" t="s">
        <v>173</v>
      </c>
    </row>
    <row r="95" spans="1:16">
      <c r="A95" s="10">
        <v>93</v>
      </c>
      <c r="B95" s="6">
        <v>205</v>
      </c>
      <c r="C95" s="6" t="s">
        <v>15</v>
      </c>
      <c r="D95" s="6" t="s">
        <v>16</v>
      </c>
      <c r="E95" s="6">
        <v>0.55045140400000003</v>
      </c>
      <c r="F95" s="6">
        <v>0.55363019700000005</v>
      </c>
      <c r="G95" s="6">
        <v>0.55363019700000005</v>
      </c>
      <c r="H95" s="9">
        <v>0</v>
      </c>
      <c r="I95" s="6">
        <v>8.7748689649999996</v>
      </c>
      <c r="J95" s="6">
        <v>103.4318528</v>
      </c>
      <c r="K95" s="6">
        <v>0.55363019700000005</v>
      </c>
      <c r="L95" s="6">
        <v>83.210137000000003</v>
      </c>
      <c r="M95" s="6">
        <v>424.16030999999998</v>
      </c>
      <c r="N95" s="6">
        <v>1</v>
      </c>
      <c r="O95" s="6" t="s">
        <v>174</v>
      </c>
      <c r="P95" s="6" t="s">
        <v>174</v>
      </c>
    </row>
    <row r="96" spans="1:16">
      <c r="A96" s="10">
        <v>94</v>
      </c>
      <c r="B96" s="6">
        <v>205</v>
      </c>
      <c r="C96" s="6" t="s">
        <v>15</v>
      </c>
      <c r="D96" s="6" t="s">
        <v>19</v>
      </c>
      <c r="E96" s="6">
        <v>0.68407801099999999</v>
      </c>
      <c r="F96" s="6">
        <v>0.64349894299999999</v>
      </c>
      <c r="G96" s="6">
        <v>0.64358703299999998</v>
      </c>
      <c r="H96" s="9">
        <v>1.4E-2</v>
      </c>
      <c r="I96" s="6">
        <v>8.2879629139999995</v>
      </c>
      <c r="J96" s="6">
        <v>103.4318528</v>
      </c>
      <c r="K96" s="6">
        <v>0.64358703299999998</v>
      </c>
      <c r="L96" s="6">
        <v>55.519449000000002</v>
      </c>
      <c r="M96" s="6">
        <v>424.16030999999998</v>
      </c>
      <c r="N96" s="6">
        <v>0.70370370400000004</v>
      </c>
      <c r="O96" s="6" t="s">
        <v>175</v>
      </c>
      <c r="P96" s="6" t="s">
        <v>176</v>
      </c>
    </row>
    <row r="97" spans="1:16">
      <c r="A97" s="10">
        <v>95</v>
      </c>
      <c r="B97" s="6">
        <v>205</v>
      </c>
      <c r="C97" s="6" t="s">
        <v>15</v>
      </c>
      <c r="D97" s="6" t="s">
        <v>21</v>
      </c>
      <c r="E97" s="6">
        <v>0.55677069099999998</v>
      </c>
      <c r="F97" s="6">
        <v>0.53127202299999998</v>
      </c>
      <c r="G97" s="6">
        <v>0.54827343200000001</v>
      </c>
      <c r="H97" s="9">
        <v>3.101</v>
      </c>
      <c r="I97" s="6">
        <v>13.174647090000001</v>
      </c>
      <c r="J97" s="6">
        <v>103.4318528</v>
      </c>
      <c r="K97" s="6">
        <v>0.54827343200000001</v>
      </c>
      <c r="L97" s="6">
        <v>62.294775999999999</v>
      </c>
      <c r="M97" s="6">
        <v>424.16030999999998</v>
      </c>
      <c r="N97" s="6">
        <v>0.81818181800000001</v>
      </c>
      <c r="O97" s="6" t="s">
        <v>177</v>
      </c>
      <c r="P97" s="6" t="s">
        <v>178</v>
      </c>
    </row>
    <row r="98" spans="1:16">
      <c r="A98" s="10">
        <v>96</v>
      </c>
      <c r="B98" s="6">
        <v>206</v>
      </c>
      <c r="C98" s="6" t="s">
        <v>15</v>
      </c>
      <c r="D98" s="6" t="s">
        <v>16</v>
      </c>
      <c r="E98" s="6">
        <v>0.53358749900000002</v>
      </c>
      <c r="F98" s="6">
        <v>0.53924481599999996</v>
      </c>
      <c r="G98" s="6">
        <v>0.53954142199999999</v>
      </c>
      <c r="H98" s="9">
        <v>5.5E-2</v>
      </c>
      <c r="I98" s="6">
        <v>27.09314895</v>
      </c>
      <c r="J98" s="6">
        <v>115.7253549</v>
      </c>
      <c r="K98" s="6">
        <v>0.53954142199999999</v>
      </c>
      <c r="L98" s="6">
        <v>105.58671200000001</v>
      </c>
      <c r="M98" s="6">
        <v>394.244236</v>
      </c>
      <c r="N98" s="6">
        <v>0.8</v>
      </c>
      <c r="O98" s="6" t="s">
        <v>179</v>
      </c>
      <c r="P98" s="6" t="s">
        <v>180</v>
      </c>
    </row>
    <row r="99" spans="1:16">
      <c r="A99" s="10">
        <v>97</v>
      </c>
      <c r="B99" s="6">
        <v>206</v>
      </c>
      <c r="C99" s="6" t="s">
        <v>15</v>
      </c>
      <c r="D99" s="6" t="s">
        <v>19</v>
      </c>
      <c r="E99" s="6">
        <v>0.41481882199999998</v>
      </c>
      <c r="F99" s="6">
        <v>0.40283650500000001</v>
      </c>
      <c r="G99" s="6">
        <v>0.41279069800000001</v>
      </c>
      <c r="H99" s="9">
        <v>2.411</v>
      </c>
      <c r="I99" s="6">
        <v>19.250198130000001</v>
      </c>
      <c r="J99" s="6">
        <v>115.7253549</v>
      </c>
      <c r="K99" s="6">
        <v>0.41279069800000001</v>
      </c>
      <c r="L99" s="6">
        <v>97.713830000000002</v>
      </c>
      <c r="M99" s="6">
        <v>394.244236</v>
      </c>
      <c r="N99" s="6">
        <v>0.8</v>
      </c>
      <c r="O99" s="6" t="s">
        <v>181</v>
      </c>
      <c r="P99" s="6" t="s">
        <v>182</v>
      </c>
    </row>
    <row r="100" spans="1:16">
      <c r="A100" s="10">
        <v>98</v>
      </c>
      <c r="B100" s="6">
        <v>206</v>
      </c>
      <c r="C100" s="6" t="s">
        <v>15</v>
      </c>
      <c r="D100" s="6" t="s">
        <v>21</v>
      </c>
      <c r="E100" s="6">
        <v>0.62001145700000004</v>
      </c>
      <c r="F100" s="6">
        <v>0.60940803399999999</v>
      </c>
      <c r="G100" s="6">
        <v>0.60940803399999999</v>
      </c>
      <c r="H100" s="9">
        <v>0</v>
      </c>
      <c r="I100" s="6">
        <v>19.482355120000001</v>
      </c>
      <c r="J100" s="6">
        <v>115.7253549</v>
      </c>
      <c r="K100" s="6">
        <v>0.60940803399999999</v>
      </c>
      <c r="L100" s="6">
        <v>65.233610999999996</v>
      </c>
      <c r="M100" s="6">
        <v>394.244236</v>
      </c>
      <c r="N100" s="6">
        <v>0.675675676</v>
      </c>
      <c r="O100" s="6" t="s">
        <v>183</v>
      </c>
      <c r="P100" s="6" t="s">
        <v>184</v>
      </c>
    </row>
    <row r="101" spans="1:16">
      <c r="A101" s="10">
        <v>99</v>
      </c>
      <c r="B101" s="6">
        <v>207</v>
      </c>
      <c r="C101" s="6" t="s">
        <v>15</v>
      </c>
      <c r="D101" s="6" t="s">
        <v>16</v>
      </c>
      <c r="E101" s="6">
        <v>0.50581596699999998</v>
      </c>
      <c r="F101" s="6">
        <v>0.51505983700000002</v>
      </c>
      <c r="G101" s="6">
        <v>0.51521716699999998</v>
      </c>
      <c r="H101" s="9">
        <v>3.1E-2</v>
      </c>
      <c r="I101" s="6">
        <v>26.451076029999999</v>
      </c>
      <c r="J101" s="6">
        <v>92.211967470000005</v>
      </c>
      <c r="K101" s="6">
        <v>0.51521716699999998</v>
      </c>
      <c r="L101" s="6">
        <v>113.87076999999999</v>
      </c>
      <c r="M101" s="6">
        <v>367.80238500000002</v>
      </c>
      <c r="N101" s="6">
        <v>0.86666666699999995</v>
      </c>
      <c r="O101" s="6" t="s">
        <v>185</v>
      </c>
      <c r="P101" s="6" t="s">
        <v>186</v>
      </c>
    </row>
    <row r="102" spans="1:16">
      <c r="A102" s="10">
        <v>100</v>
      </c>
      <c r="B102" s="6">
        <v>207</v>
      </c>
      <c r="C102" s="6" t="s">
        <v>15</v>
      </c>
      <c r="D102" s="6" t="s">
        <v>19</v>
      </c>
      <c r="E102" s="6">
        <v>0.60172491500000003</v>
      </c>
      <c r="F102" s="6">
        <v>0.59002818899999998</v>
      </c>
      <c r="G102" s="6">
        <v>0.59002818899999998</v>
      </c>
      <c r="H102" s="9">
        <v>0</v>
      </c>
      <c r="I102" s="6">
        <v>25.58943987</v>
      </c>
      <c r="J102" s="6">
        <v>92.211967470000005</v>
      </c>
      <c r="K102" s="6">
        <v>0.59002818899999998</v>
      </c>
      <c r="L102" s="6">
        <v>53.746122</v>
      </c>
      <c r="M102" s="6">
        <v>367.80238500000002</v>
      </c>
      <c r="N102" s="6">
        <v>0.82499999999999996</v>
      </c>
      <c r="O102" s="6" t="s">
        <v>187</v>
      </c>
      <c r="P102" s="6" t="s">
        <v>188</v>
      </c>
    </row>
    <row r="103" spans="1:16">
      <c r="A103" s="10">
        <v>101</v>
      </c>
      <c r="B103" s="6">
        <v>207</v>
      </c>
      <c r="C103" s="6" t="s">
        <v>15</v>
      </c>
      <c r="D103" s="6" t="s">
        <v>21</v>
      </c>
      <c r="E103" s="6">
        <v>0.60875245200000005</v>
      </c>
      <c r="F103" s="6">
        <v>0.60835095100000003</v>
      </c>
      <c r="G103" s="6">
        <v>0.60835095100000003</v>
      </c>
      <c r="H103" s="9">
        <v>0</v>
      </c>
      <c r="I103" s="6">
        <v>43.448388809999997</v>
      </c>
      <c r="J103" s="6">
        <v>92.211967470000005</v>
      </c>
      <c r="K103" s="6">
        <v>0.60835095100000003</v>
      </c>
      <c r="L103" s="6">
        <v>57.845025999999997</v>
      </c>
      <c r="M103" s="6">
        <v>367.80238500000002</v>
      </c>
      <c r="N103" s="6">
        <v>0.73809523799999999</v>
      </c>
      <c r="O103" s="6" t="s">
        <v>189</v>
      </c>
      <c r="P103" s="6" t="s">
        <v>190</v>
      </c>
    </row>
    <row r="104" spans="1:16">
      <c r="A104" s="10">
        <v>102</v>
      </c>
      <c r="B104" s="6">
        <v>208</v>
      </c>
      <c r="C104" s="6" t="s">
        <v>15</v>
      </c>
      <c r="D104" s="6" t="s">
        <v>16</v>
      </c>
      <c r="E104" s="6">
        <v>0.49749722800000001</v>
      </c>
      <c r="F104" s="6">
        <v>0.50263850200000004</v>
      </c>
      <c r="G104" s="6">
        <v>0.50263850200000004</v>
      </c>
      <c r="H104" s="9">
        <v>0</v>
      </c>
      <c r="I104" s="6">
        <v>39.897307159999997</v>
      </c>
      <c r="J104" s="6">
        <v>91.600391389999999</v>
      </c>
      <c r="K104" s="6">
        <v>0.50263850200000004</v>
      </c>
      <c r="L104" s="6">
        <v>88.010683</v>
      </c>
      <c r="M104" s="6">
        <v>377.47987499999999</v>
      </c>
      <c r="N104" s="6">
        <v>1</v>
      </c>
      <c r="O104" s="6" t="s">
        <v>191</v>
      </c>
      <c r="P104" s="6" t="s">
        <v>191</v>
      </c>
    </row>
    <row r="105" spans="1:16">
      <c r="A105" s="10">
        <v>103</v>
      </c>
      <c r="B105" s="6">
        <v>208</v>
      </c>
      <c r="C105" s="6" t="s">
        <v>15</v>
      </c>
      <c r="D105" s="6" t="s">
        <v>19</v>
      </c>
      <c r="E105" s="6">
        <v>0.60013715999999995</v>
      </c>
      <c r="F105" s="6">
        <v>0.62508808999999999</v>
      </c>
      <c r="G105" s="6">
        <v>0.62526427100000004</v>
      </c>
      <c r="H105" s="9">
        <v>2.8000000000000001E-2</v>
      </c>
      <c r="I105" s="6">
        <v>23.23439789</v>
      </c>
      <c r="J105" s="6">
        <v>91.600391389999999</v>
      </c>
      <c r="K105" s="6">
        <v>0.62526427100000004</v>
      </c>
      <c r="L105" s="6">
        <v>54.466127999999998</v>
      </c>
      <c r="M105" s="6">
        <v>377.47987499999999</v>
      </c>
      <c r="N105" s="6">
        <v>0.87804877999999997</v>
      </c>
      <c r="O105" s="6" t="s">
        <v>192</v>
      </c>
      <c r="P105" s="6" t="s">
        <v>193</v>
      </c>
    </row>
    <row r="106" spans="1:16">
      <c r="A106" s="10">
        <v>104</v>
      </c>
      <c r="B106" s="6">
        <v>208</v>
      </c>
      <c r="C106" s="6" t="s">
        <v>15</v>
      </c>
      <c r="D106" s="6" t="s">
        <v>21</v>
      </c>
      <c r="E106" s="6">
        <v>0.510272316</v>
      </c>
      <c r="F106" s="6">
        <v>0.50176180400000003</v>
      </c>
      <c r="G106" s="6">
        <v>0.50176180400000003</v>
      </c>
      <c r="H106" s="9">
        <v>0</v>
      </c>
      <c r="I106" s="6">
        <v>32.629940990000001</v>
      </c>
      <c r="J106" s="6">
        <v>91.600391389999999</v>
      </c>
      <c r="K106" s="6">
        <v>0.50176180400000003</v>
      </c>
      <c r="L106" s="6">
        <v>55.079278000000002</v>
      </c>
      <c r="M106" s="6">
        <v>377.47987499999999</v>
      </c>
      <c r="N106" s="6">
        <v>0.97297297299999996</v>
      </c>
      <c r="O106" s="6" t="s">
        <v>194</v>
      </c>
      <c r="P106" s="6" t="s">
        <v>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1"/>
  <sheetViews>
    <sheetView workbookViewId="0">
      <selection activeCell="P106" sqref="A1:P106"/>
    </sheetView>
  </sheetViews>
  <sheetFormatPr defaultColWidth="8.85546875" defaultRowHeight="15"/>
  <cols>
    <col min="1" max="1" width="4.140625" bestFit="1" customWidth="1"/>
    <col min="2" max="2" width="7.7109375" bestFit="1" customWidth="1"/>
    <col min="3" max="3" width="8.42578125" bestFit="1" customWidth="1"/>
    <col min="4" max="4" width="30.42578125" bestFit="1" customWidth="1"/>
    <col min="5" max="5" width="12.140625" bestFit="1" customWidth="1"/>
    <col min="6" max="6" width="15.7109375" bestFit="1" customWidth="1"/>
    <col min="7" max="7" width="12.42578125" bestFit="1" customWidth="1"/>
    <col min="8" max="8" width="12.42578125" customWidth="1"/>
    <col min="9" max="9" width="15.42578125" bestFit="1" customWidth="1"/>
    <col min="10" max="10" width="17.85546875" bestFit="1" customWidth="1"/>
    <col min="11" max="11" width="12.140625" bestFit="1" customWidth="1"/>
    <col min="12" max="12" width="12.28515625" bestFit="1" customWidth="1"/>
    <col min="13" max="13" width="14.42578125" bestFit="1" customWidth="1"/>
    <col min="14" max="14" width="12.140625" bestFit="1" customWidth="1"/>
    <col min="15" max="15" width="114.7109375" bestFit="1" customWidth="1"/>
    <col min="16" max="16" width="105" bestFit="1" customWidth="1"/>
  </cols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196</v>
      </c>
      <c r="C2" t="s">
        <v>15</v>
      </c>
      <c r="D2" t="s">
        <v>16</v>
      </c>
      <c r="E2">
        <v>0.51957456371838961</v>
      </c>
      <c r="F2">
        <v>0.52666873001134851</v>
      </c>
      <c r="G2">
        <v>0.52682863922418244</v>
      </c>
      <c r="H2" s="3">
        <f>100*(G2-F2)/G2</f>
        <v>3.0353173864924282E-2</v>
      </c>
      <c r="I2">
        <v>24.650075912475589</v>
      </c>
      <c r="J2">
        <v>118.57351493835451</v>
      </c>
      <c r="K2">
        <v>0.52682863922286693</v>
      </c>
      <c r="L2">
        <v>73.712311</v>
      </c>
      <c r="M2">
        <v>407.302909</v>
      </c>
      <c r="N2">
        <v>0.92</v>
      </c>
      <c r="O2" t="s">
        <v>17</v>
      </c>
      <c r="P2" t="s">
        <v>18</v>
      </c>
    </row>
    <row r="3" spans="1:16">
      <c r="A3" s="1">
        <v>1</v>
      </c>
      <c r="B3" t="s">
        <v>196</v>
      </c>
      <c r="C3" t="s">
        <v>15</v>
      </c>
      <c r="D3" t="s">
        <v>19</v>
      </c>
      <c r="E3">
        <v>0.344610029613932</v>
      </c>
      <c r="F3">
        <v>0.34038054968287529</v>
      </c>
      <c r="G3">
        <v>0.34055673009161369</v>
      </c>
      <c r="H3" s="3">
        <f t="shared" ref="H3:H66" si="0">100*(G3-F3)/G3</f>
        <v>5.1733057423650877E-2</v>
      </c>
      <c r="I3">
        <v>27.522747993469238</v>
      </c>
      <c r="J3">
        <v>118.57351493835451</v>
      </c>
      <c r="K3">
        <v>0.34055673009161153</v>
      </c>
      <c r="L3">
        <v>38.155582000000003</v>
      </c>
      <c r="M3">
        <v>407.302909</v>
      </c>
      <c r="N3">
        <v>0.8214285714285714</v>
      </c>
      <c r="O3" t="s">
        <v>17</v>
      </c>
      <c r="P3" t="s">
        <v>20</v>
      </c>
    </row>
    <row r="4" spans="1:16">
      <c r="A4" s="1">
        <v>2</v>
      </c>
      <c r="B4" t="s">
        <v>196</v>
      </c>
      <c r="C4" t="s">
        <v>15</v>
      </c>
      <c r="D4" t="s">
        <v>21</v>
      </c>
      <c r="E4">
        <v>0.58778400161457467</v>
      </c>
      <c r="F4">
        <v>0.57100070472163489</v>
      </c>
      <c r="G4">
        <v>0.57135306553911203</v>
      </c>
      <c r="H4" s="3">
        <f t="shared" si="0"/>
        <v>6.1671292013574859E-2</v>
      </c>
      <c r="I4">
        <v>19.18231201171875</v>
      </c>
      <c r="J4">
        <v>118.57351493835451</v>
      </c>
      <c r="K4">
        <v>0.57135306553909893</v>
      </c>
      <c r="L4">
        <v>37.427601000000003</v>
      </c>
      <c r="M4">
        <v>407.302909</v>
      </c>
      <c r="N4">
        <v>0.7931034482758621</v>
      </c>
      <c r="O4" t="s">
        <v>17</v>
      </c>
      <c r="P4" t="s">
        <v>22</v>
      </c>
    </row>
    <row r="5" spans="1:16">
      <c r="A5" s="1">
        <v>3</v>
      </c>
      <c r="B5" t="s">
        <v>197</v>
      </c>
      <c r="C5" t="s">
        <v>15</v>
      </c>
      <c r="D5" t="s">
        <v>16</v>
      </c>
      <c r="E5">
        <v>0.53388234418112068</v>
      </c>
      <c r="F5">
        <v>0.53958268853812019</v>
      </c>
      <c r="G5">
        <v>0.53977354792118015</v>
      </c>
      <c r="H5" s="3">
        <f t="shared" si="0"/>
        <v>3.5359158260906541E-2</v>
      </c>
      <c r="I5">
        <v>12.61849212646484</v>
      </c>
      <c r="J5">
        <v>102.03928780555729</v>
      </c>
      <c r="K5">
        <v>0.53977354791984555</v>
      </c>
      <c r="L5">
        <v>122.969386</v>
      </c>
      <c r="M5">
        <v>396.25804799999997</v>
      </c>
      <c r="N5">
        <v>0.91304347826086951</v>
      </c>
      <c r="O5" t="s">
        <v>23</v>
      </c>
      <c r="P5" t="s">
        <v>24</v>
      </c>
    </row>
    <row r="6" spans="1:16">
      <c r="A6" s="1">
        <v>4</v>
      </c>
      <c r="B6" t="s">
        <v>197</v>
      </c>
      <c r="C6" t="s">
        <v>15</v>
      </c>
      <c r="D6" t="s">
        <v>19</v>
      </c>
      <c r="E6">
        <v>0.43054574227247783</v>
      </c>
      <c r="F6">
        <v>0.41120507399577172</v>
      </c>
      <c r="G6">
        <v>0.4115574348132488</v>
      </c>
      <c r="H6" s="3">
        <f t="shared" si="0"/>
        <v>8.5616438356160854E-2</v>
      </c>
      <c r="I6">
        <v>18.124361991882321</v>
      </c>
      <c r="J6">
        <v>102.03928780555729</v>
      </c>
      <c r="K6">
        <v>0.41155743481323892</v>
      </c>
      <c r="L6">
        <v>48.117085000000003</v>
      </c>
      <c r="M6">
        <v>396.25804799999997</v>
      </c>
      <c r="N6">
        <v>0.77419354838709675</v>
      </c>
      <c r="O6" t="s">
        <v>25</v>
      </c>
      <c r="P6" t="s">
        <v>26</v>
      </c>
    </row>
    <row r="7" spans="1:16">
      <c r="A7" s="1">
        <v>5</v>
      </c>
      <c r="B7" t="s">
        <v>197</v>
      </c>
      <c r="C7" t="s">
        <v>15</v>
      </c>
      <c r="D7" t="s">
        <v>21</v>
      </c>
      <c r="E7">
        <v>0.59514522837732664</v>
      </c>
      <c r="F7">
        <v>0.57311486962649749</v>
      </c>
      <c r="G7">
        <v>0.57311486962649749</v>
      </c>
      <c r="H7" s="3">
        <f t="shared" si="0"/>
        <v>0</v>
      </c>
      <c r="I7">
        <v>9.5142741203308105</v>
      </c>
      <c r="J7">
        <v>102.03928780555729</v>
      </c>
      <c r="K7">
        <v>0.57311486962648461</v>
      </c>
      <c r="L7">
        <v>49.922930000000001</v>
      </c>
      <c r="M7">
        <v>396.25804799999997</v>
      </c>
      <c r="N7">
        <v>0.83333333333333337</v>
      </c>
      <c r="O7" t="s">
        <v>27</v>
      </c>
      <c r="P7" t="s">
        <v>28</v>
      </c>
    </row>
    <row r="8" spans="1:16">
      <c r="A8" s="1">
        <v>6</v>
      </c>
      <c r="B8" t="s">
        <v>198</v>
      </c>
      <c r="C8" t="s">
        <v>15</v>
      </c>
      <c r="D8" t="s">
        <v>16</v>
      </c>
      <c r="E8">
        <v>0.51823660822082662</v>
      </c>
      <c r="F8">
        <v>0.52451511399979378</v>
      </c>
      <c r="G8">
        <v>0.52451511399979378</v>
      </c>
      <c r="H8" s="3">
        <f t="shared" si="0"/>
        <v>0</v>
      </c>
      <c r="I8">
        <v>14.10355114936829</v>
      </c>
      <c r="J8">
        <v>91.404918909072876</v>
      </c>
      <c r="K8">
        <v>0.52451511399851858</v>
      </c>
      <c r="L8">
        <v>112.852025</v>
      </c>
      <c r="M8">
        <v>399.49296800000002</v>
      </c>
      <c r="N8">
        <v>1</v>
      </c>
      <c r="O8" t="s">
        <v>29</v>
      </c>
      <c r="P8" t="s">
        <v>29</v>
      </c>
    </row>
    <row r="9" spans="1:16">
      <c r="A9" s="1">
        <v>7</v>
      </c>
      <c r="B9" t="s">
        <v>198</v>
      </c>
      <c r="C9" t="s">
        <v>15</v>
      </c>
      <c r="D9" t="s">
        <v>19</v>
      </c>
      <c r="E9">
        <v>0.32129658468591321</v>
      </c>
      <c r="F9">
        <v>0.33033826638477798</v>
      </c>
      <c r="G9">
        <v>0.3309196617336152</v>
      </c>
      <c r="H9" s="3">
        <f t="shared" si="0"/>
        <v>0.17569078421977688</v>
      </c>
      <c r="I9">
        <v>79.558164119720459</v>
      </c>
      <c r="J9">
        <v>91.404918909072876</v>
      </c>
      <c r="K9">
        <v>0.33091966173362081</v>
      </c>
      <c r="L9">
        <v>86.067673999999997</v>
      </c>
      <c r="M9">
        <v>399.49296800000002</v>
      </c>
      <c r="N9">
        <v>0.88571428571428568</v>
      </c>
      <c r="O9" t="s">
        <v>30</v>
      </c>
      <c r="P9" t="s">
        <v>31</v>
      </c>
    </row>
    <row r="10" spans="1:16">
      <c r="A10" s="1">
        <v>8</v>
      </c>
      <c r="B10" t="s">
        <v>198</v>
      </c>
      <c r="C10" t="s">
        <v>15</v>
      </c>
      <c r="D10" t="s">
        <v>21</v>
      </c>
      <c r="E10">
        <v>0.58853554637277372</v>
      </c>
      <c r="F10">
        <v>0.57408386187455951</v>
      </c>
      <c r="G10">
        <v>0.57434813248766736</v>
      </c>
      <c r="H10" s="3">
        <f t="shared" si="0"/>
        <v>4.6012269938655662E-2</v>
      </c>
      <c r="I10">
        <v>25.253007173538212</v>
      </c>
      <c r="J10">
        <v>91.404918909072876</v>
      </c>
      <c r="K10">
        <v>0.57434813248765237</v>
      </c>
      <c r="L10">
        <v>57.356923999999999</v>
      </c>
      <c r="M10">
        <v>399.49296800000002</v>
      </c>
      <c r="N10">
        <v>0.7142857142857143</v>
      </c>
      <c r="O10" t="s">
        <v>32</v>
      </c>
      <c r="P10" t="s">
        <v>33</v>
      </c>
    </row>
    <row r="11" spans="1:16">
      <c r="A11" s="1">
        <v>9</v>
      </c>
      <c r="B11" t="s">
        <v>199</v>
      </c>
      <c r="C11" t="s">
        <v>15</v>
      </c>
      <c r="D11" t="s">
        <v>16</v>
      </c>
      <c r="E11">
        <v>0.52094874735518748</v>
      </c>
      <c r="F11">
        <v>0.52891132776230265</v>
      </c>
      <c r="G11">
        <v>0.52891132776230265</v>
      </c>
      <c r="H11" s="3">
        <f t="shared" si="0"/>
        <v>0</v>
      </c>
      <c r="I11">
        <v>10.47515296936035</v>
      </c>
      <c r="J11">
        <v>104.2140181064606</v>
      </c>
      <c r="K11">
        <v>0.52891132776098859</v>
      </c>
      <c r="L11">
        <v>60.626511000000001</v>
      </c>
      <c r="M11">
        <v>394.894248</v>
      </c>
      <c r="N11">
        <v>1</v>
      </c>
      <c r="O11" t="s">
        <v>34</v>
      </c>
      <c r="P11" t="s">
        <v>34</v>
      </c>
    </row>
    <row r="12" spans="1:16">
      <c r="A12" s="1">
        <v>10</v>
      </c>
      <c r="B12" t="s">
        <v>199</v>
      </c>
      <c r="C12" t="s">
        <v>15</v>
      </c>
      <c r="D12" t="s">
        <v>19</v>
      </c>
      <c r="E12">
        <v>0.46242485131847538</v>
      </c>
      <c r="F12">
        <v>0.44785059901338969</v>
      </c>
      <c r="G12">
        <v>0.44785059901338969</v>
      </c>
      <c r="H12" s="3">
        <f t="shared" si="0"/>
        <v>0</v>
      </c>
      <c r="I12">
        <v>6.8750312328338623</v>
      </c>
      <c r="J12">
        <v>104.2140181064606</v>
      </c>
      <c r="K12">
        <v>0.44785059901337959</v>
      </c>
      <c r="L12">
        <v>31.227765000000002</v>
      </c>
      <c r="M12">
        <v>394.894248</v>
      </c>
      <c r="N12">
        <v>1</v>
      </c>
      <c r="O12" t="s">
        <v>34</v>
      </c>
      <c r="P12" t="s">
        <v>34</v>
      </c>
    </row>
    <row r="13" spans="1:16">
      <c r="A13" s="1">
        <v>11</v>
      </c>
      <c r="B13" t="s">
        <v>199</v>
      </c>
      <c r="C13" t="s">
        <v>15</v>
      </c>
      <c r="D13" t="s">
        <v>21</v>
      </c>
      <c r="E13">
        <v>0.55078237223326576</v>
      </c>
      <c r="F13">
        <v>0.52924594785059897</v>
      </c>
      <c r="G13">
        <v>0.52924594785059897</v>
      </c>
      <c r="H13" s="3">
        <f t="shared" si="0"/>
        <v>0</v>
      </c>
      <c r="I13">
        <v>8.4654808044433594</v>
      </c>
      <c r="J13">
        <v>104.2140181064606</v>
      </c>
      <c r="K13">
        <v>0.52924594785058099</v>
      </c>
      <c r="L13">
        <v>32.511254000000001</v>
      </c>
      <c r="M13">
        <v>394.894248</v>
      </c>
      <c r="N13">
        <v>0.67741935483870963</v>
      </c>
      <c r="O13" t="s">
        <v>34</v>
      </c>
      <c r="P13" t="s">
        <v>35</v>
      </c>
    </row>
    <row r="14" spans="1:16">
      <c r="A14" s="1">
        <v>12</v>
      </c>
      <c r="B14" t="s">
        <v>200</v>
      </c>
      <c r="C14" t="s">
        <v>15</v>
      </c>
      <c r="D14" t="s">
        <v>16</v>
      </c>
      <c r="E14">
        <v>0.55732245301440042</v>
      </c>
      <c r="F14">
        <v>0.56266119880326004</v>
      </c>
      <c r="G14">
        <v>0.56270633446817298</v>
      </c>
      <c r="H14" s="3">
        <f t="shared" si="0"/>
        <v>8.0211759044068257E-3</v>
      </c>
      <c r="I14">
        <v>5.3289868831634521</v>
      </c>
      <c r="J14">
        <v>95.045179843902588</v>
      </c>
      <c r="K14">
        <v>0.56270633446670926</v>
      </c>
      <c r="L14">
        <v>66.899614999999997</v>
      </c>
      <c r="M14">
        <v>378.302436</v>
      </c>
      <c r="N14">
        <v>0.8666666666666667</v>
      </c>
      <c r="O14" t="s">
        <v>36</v>
      </c>
      <c r="P14" t="s">
        <v>37</v>
      </c>
    </row>
    <row r="15" spans="1:16">
      <c r="A15" s="1">
        <v>13</v>
      </c>
      <c r="B15" t="s">
        <v>200</v>
      </c>
      <c r="C15" t="s">
        <v>15</v>
      </c>
      <c r="D15" t="s">
        <v>19</v>
      </c>
      <c r="E15">
        <v>0.40963765134302671</v>
      </c>
      <c r="F15">
        <v>0.41420014094432711</v>
      </c>
      <c r="G15">
        <v>0.41420014094432711</v>
      </c>
      <c r="H15" s="3">
        <f t="shared" si="0"/>
        <v>0</v>
      </c>
      <c r="I15">
        <v>6.4551260471343994</v>
      </c>
      <c r="J15">
        <v>95.045179843902588</v>
      </c>
      <c r="K15">
        <v>0.41420014094432028</v>
      </c>
      <c r="L15">
        <v>40.272782999999997</v>
      </c>
      <c r="M15">
        <v>378.302436</v>
      </c>
      <c r="N15">
        <v>1</v>
      </c>
      <c r="O15" t="s">
        <v>38</v>
      </c>
      <c r="P15" t="s">
        <v>38</v>
      </c>
    </row>
    <row r="16" spans="1:16">
      <c r="A16" s="1">
        <v>14</v>
      </c>
      <c r="B16" t="s">
        <v>200</v>
      </c>
      <c r="C16" t="s">
        <v>15</v>
      </c>
      <c r="D16" t="s">
        <v>21</v>
      </c>
      <c r="E16">
        <v>0.62135469181363168</v>
      </c>
      <c r="F16">
        <v>0.60606060606060597</v>
      </c>
      <c r="G16">
        <v>0.60606060606060597</v>
      </c>
      <c r="H16" s="3">
        <f t="shared" si="0"/>
        <v>0</v>
      </c>
      <c r="I16">
        <v>4.7712740898132324</v>
      </c>
      <c r="J16">
        <v>95.045179843902588</v>
      </c>
      <c r="K16">
        <v>0.60606060606059697</v>
      </c>
      <c r="L16">
        <v>41.417372999999998</v>
      </c>
      <c r="M16">
        <v>378.302436</v>
      </c>
      <c r="N16">
        <v>0.76190476190476186</v>
      </c>
      <c r="O16" t="s">
        <v>39</v>
      </c>
      <c r="P16" t="s">
        <v>40</v>
      </c>
    </row>
    <row r="17" spans="1:16">
      <c r="A17" s="1">
        <v>15</v>
      </c>
      <c r="B17" t="s">
        <v>201</v>
      </c>
      <c r="C17" t="s">
        <v>15</v>
      </c>
      <c r="D17" t="s">
        <v>16</v>
      </c>
      <c r="E17">
        <v>0.52397745700901599</v>
      </c>
      <c r="F17">
        <v>0.53021252450221812</v>
      </c>
      <c r="G17">
        <v>0.5302666873001135</v>
      </c>
      <c r="H17" s="3">
        <f t="shared" si="0"/>
        <v>1.0214256183272319E-2</v>
      </c>
      <c r="I17">
        <v>17.254838943481449</v>
      </c>
      <c r="J17">
        <v>88.102715015411377</v>
      </c>
      <c r="K17">
        <v>0.53026668729878546</v>
      </c>
      <c r="L17">
        <v>73.725215000000006</v>
      </c>
      <c r="M17">
        <v>395.87896499999999</v>
      </c>
      <c r="N17">
        <v>0.84</v>
      </c>
      <c r="O17" t="s">
        <v>41</v>
      </c>
      <c r="P17" t="s">
        <v>42</v>
      </c>
    </row>
    <row r="18" spans="1:16">
      <c r="A18" s="1">
        <v>16</v>
      </c>
      <c r="B18" t="s">
        <v>201</v>
      </c>
      <c r="C18" t="s">
        <v>15</v>
      </c>
      <c r="D18" t="s">
        <v>19</v>
      </c>
      <c r="E18">
        <v>0.44190486089917258</v>
      </c>
      <c r="F18">
        <v>0.43727977448907679</v>
      </c>
      <c r="G18">
        <v>0.441508104298802</v>
      </c>
      <c r="H18" s="3">
        <f t="shared" si="0"/>
        <v>0.95770151636074508</v>
      </c>
      <c r="I18">
        <v>18.842672109603878</v>
      </c>
      <c r="J18">
        <v>88.102715015411377</v>
      </c>
      <c r="K18">
        <v>0.44150810429879361</v>
      </c>
      <c r="L18">
        <v>50.483595000000001</v>
      </c>
      <c r="M18">
        <v>395.87896499999999</v>
      </c>
      <c r="N18">
        <v>0.83333333333333337</v>
      </c>
      <c r="O18" t="s">
        <v>43</v>
      </c>
      <c r="P18" t="s">
        <v>44</v>
      </c>
    </row>
    <row r="19" spans="1:16">
      <c r="A19" s="1">
        <v>17</v>
      </c>
      <c r="B19" t="s">
        <v>201</v>
      </c>
      <c r="C19" t="s">
        <v>15</v>
      </c>
      <c r="D19" t="s">
        <v>21</v>
      </c>
      <c r="E19">
        <v>0.57513948219438182</v>
      </c>
      <c r="F19">
        <v>0.5704721634954194</v>
      </c>
      <c r="G19">
        <v>0.5704721634954194</v>
      </c>
      <c r="H19" s="3">
        <f t="shared" si="0"/>
        <v>0</v>
      </c>
      <c r="I19">
        <v>18.42941784858704</v>
      </c>
      <c r="J19">
        <v>88.102715015411377</v>
      </c>
      <c r="K19">
        <v>0.57047216349540586</v>
      </c>
      <c r="L19">
        <v>44.368022000000003</v>
      </c>
      <c r="M19">
        <v>395.87896499999999</v>
      </c>
      <c r="N19">
        <v>0.74193548387096775</v>
      </c>
      <c r="O19" t="s">
        <v>45</v>
      </c>
      <c r="P19" t="s">
        <v>46</v>
      </c>
    </row>
    <row r="20" spans="1:16">
      <c r="A20" s="1">
        <v>18</v>
      </c>
      <c r="B20" t="s">
        <v>202</v>
      </c>
      <c r="C20" t="s">
        <v>15</v>
      </c>
      <c r="D20" t="s">
        <v>16</v>
      </c>
      <c r="E20">
        <v>0.55487235022533787</v>
      </c>
      <c r="F20">
        <v>0.55789487258846582</v>
      </c>
      <c r="G20">
        <v>0.55789487258846582</v>
      </c>
      <c r="H20" s="3">
        <f t="shared" si="0"/>
        <v>0</v>
      </c>
      <c r="I20">
        <v>5.826056957244873</v>
      </c>
      <c r="J20">
        <v>111.61703014373779</v>
      </c>
      <c r="K20">
        <v>0.55789487258707515</v>
      </c>
      <c r="L20">
        <v>70.727956000000006</v>
      </c>
      <c r="M20">
        <v>365.94486599999999</v>
      </c>
      <c r="N20">
        <v>1</v>
      </c>
      <c r="O20" t="s">
        <v>47</v>
      </c>
      <c r="P20" t="s">
        <v>47</v>
      </c>
    </row>
    <row r="21" spans="1:16">
      <c r="A21" s="1">
        <v>19</v>
      </c>
      <c r="B21" t="s">
        <v>202</v>
      </c>
      <c r="C21" t="s">
        <v>15</v>
      </c>
      <c r="D21" t="s">
        <v>19</v>
      </c>
      <c r="E21">
        <v>0.46731540363589119</v>
      </c>
      <c r="F21">
        <v>0.44785059901338969</v>
      </c>
      <c r="G21">
        <v>0.44785059901338969</v>
      </c>
      <c r="H21" s="3">
        <f t="shared" si="0"/>
        <v>0</v>
      </c>
      <c r="I21">
        <v>6.6984658241271973</v>
      </c>
      <c r="J21">
        <v>111.61703014373779</v>
      </c>
      <c r="K21">
        <v>0.44785059901337448</v>
      </c>
      <c r="L21">
        <v>47.506993999999999</v>
      </c>
      <c r="M21">
        <v>365.94486599999999</v>
      </c>
      <c r="N21">
        <v>0.73913043478260865</v>
      </c>
      <c r="O21" t="s">
        <v>48</v>
      </c>
      <c r="P21" t="s">
        <v>49</v>
      </c>
    </row>
    <row r="22" spans="1:16">
      <c r="A22" s="1">
        <v>20</v>
      </c>
      <c r="B22" t="s">
        <v>202</v>
      </c>
      <c r="C22" t="s">
        <v>15</v>
      </c>
      <c r="D22" t="s">
        <v>21</v>
      </c>
      <c r="E22">
        <v>0.60625541499694036</v>
      </c>
      <c r="F22">
        <v>0.60042283298097254</v>
      </c>
      <c r="G22">
        <v>0.600599013389711</v>
      </c>
      <c r="H22" s="3">
        <f t="shared" si="0"/>
        <v>2.9334115576400303E-2</v>
      </c>
      <c r="I22">
        <v>6.8760449886322021</v>
      </c>
      <c r="J22">
        <v>111.61703014373779</v>
      </c>
      <c r="K22">
        <v>0.60059901338970134</v>
      </c>
      <c r="L22">
        <v>47.099204999999998</v>
      </c>
      <c r="M22">
        <v>365.94486599999999</v>
      </c>
      <c r="N22">
        <v>0.73076923076923073</v>
      </c>
      <c r="O22" t="s">
        <v>50</v>
      </c>
      <c r="P22" t="s">
        <v>51</v>
      </c>
    </row>
    <row r="23" spans="1:16">
      <c r="A23" s="1">
        <v>21</v>
      </c>
      <c r="B23" t="s">
        <v>203</v>
      </c>
      <c r="C23" t="s">
        <v>15</v>
      </c>
      <c r="D23" t="s">
        <v>16</v>
      </c>
      <c r="E23">
        <v>0.52046811555382644</v>
      </c>
      <c r="F23">
        <v>0.52529015784586819</v>
      </c>
      <c r="G23">
        <v>0.52777726194160735</v>
      </c>
      <c r="H23" s="3">
        <f t="shared" si="0"/>
        <v>0.4712412366136241</v>
      </c>
      <c r="I23">
        <v>11.44120287895203</v>
      </c>
      <c r="J23">
        <v>88.24916934967041</v>
      </c>
      <c r="K23">
        <v>0.52777726194029251</v>
      </c>
      <c r="L23">
        <v>66.123073000000005</v>
      </c>
      <c r="M23">
        <v>373.86964999999998</v>
      </c>
      <c r="N23">
        <v>0.84615384615384615</v>
      </c>
      <c r="O23" t="s">
        <v>52</v>
      </c>
      <c r="P23" t="s">
        <v>53</v>
      </c>
    </row>
    <row r="24" spans="1:16">
      <c r="A24" s="1">
        <v>22</v>
      </c>
      <c r="B24" t="s">
        <v>203</v>
      </c>
      <c r="C24" t="s">
        <v>15</v>
      </c>
      <c r="D24" t="s">
        <v>19</v>
      </c>
      <c r="E24">
        <v>0.34599458439254871</v>
      </c>
      <c r="F24">
        <v>0.34041578576462289</v>
      </c>
      <c r="G24">
        <v>0.34499647639182518</v>
      </c>
      <c r="H24" s="3">
        <f t="shared" si="0"/>
        <v>1.3277499744663566</v>
      </c>
      <c r="I24">
        <v>18.62675309181213</v>
      </c>
      <c r="J24">
        <v>88.24916934967041</v>
      </c>
      <c r="K24">
        <v>0.34499647639182718</v>
      </c>
      <c r="L24">
        <v>47.443153000000002</v>
      </c>
      <c r="M24">
        <v>373.86964999999998</v>
      </c>
      <c r="N24">
        <v>0.81818181818181823</v>
      </c>
      <c r="O24" t="s">
        <v>54</v>
      </c>
      <c r="P24" t="s">
        <v>55</v>
      </c>
    </row>
    <row r="25" spans="1:16">
      <c r="A25" s="1">
        <v>23</v>
      </c>
      <c r="B25" t="s">
        <v>203</v>
      </c>
      <c r="C25" t="s">
        <v>15</v>
      </c>
      <c r="D25" t="s">
        <v>21</v>
      </c>
      <c r="E25">
        <v>0.59196362297764926</v>
      </c>
      <c r="F25">
        <v>0.57716701902748413</v>
      </c>
      <c r="G25">
        <v>0.57716701902748413</v>
      </c>
      <c r="H25" s="3">
        <f t="shared" si="0"/>
        <v>0</v>
      </c>
      <c r="I25">
        <v>13.862142086029049</v>
      </c>
      <c r="J25">
        <v>88.24916934967041</v>
      </c>
      <c r="K25">
        <v>0.57716701902747169</v>
      </c>
      <c r="L25">
        <v>46.073174000000002</v>
      </c>
      <c r="M25">
        <v>373.86964999999998</v>
      </c>
      <c r="N25">
        <v>0.76470588235294112</v>
      </c>
      <c r="O25" t="s">
        <v>56</v>
      </c>
      <c r="P25" t="s">
        <v>57</v>
      </c>
    </row>
    <row r="26" spans="1:16">
      <c r="A26" s="1">
        <v>24</v>
      </c>
      <c r="B26" t="s">
        <v>204</v>
      </c>
      <c r="C26" t="s">
        <v>15</v>
      </c>
      <c r="D26" t="s">
        <v>16</v>
      </c>
      <c r="E26">
        <v>0.54066215286424235</v>
      </c>
      <c r="F26">
        <v>0.547633601568142</v>
      </c>
      <c r="G26">
        <v>0.547633601568142</v>
      </c>
      <c r="H26" s="3">
        <f t="shared" si="0"/>
        <v>0</v>
      </c>
      <c r="I26">
        <v>10.520982027053829</v>
      </c>
      <c r="J26">
        <v>83.709509134292603</v>
      </c>
      <c r="K26">
        <v>0.54763360156670426</v>
      </c>
      <c r="L26">
        <v>78.089388999999997</v>
      </c>
      <c r="M26">
        <v>377.51222799999999</v>
      </c>
      <c r="N26">
        <v>1</v>
      </c>
      <c r="O26" t="s">
        <v>58</v>
      </c>
      <c r="P26" t="s">
        <v>58</v>
      </c>
    </row>
    <row r="27" spans="1:16">
      <c r="A27" s="1">
        <v>25</v>
      </c>
      <c r="B27" t="s">
        <v>204</v>
      </c>
      <c r="C27" t="s">
        <v>15</v>
      </c>
      <c r="D27" t="s">
        <v>19</v>
      </c>
      <c r="E27">
        <v>0.48976801714604312</v>
      </c>
      <c r="F27">
        <v>0.48431994362226921</v>
      </c>
      <c r="G27">
        <v>0.48484848484848481</v>
      </c>
      <c r="H27" s="3">
        <f t="shared" si="0"/>
        <v>0.10901162790696654</v>
      </c>
      <c r="I27">
        <v>11.79454898834229</v>
      </c>
      <c r="J27">
        <v>83.709509134292603</v>
      </c>
      <c r="K27">
        <v>0.48484848484847443</v>
      </c>
      <c r="L27">
        <v>58.869235000000003</v>
      </c>
      <c r="M27">
        <v>377.51222799999999</v>
      </c>
      <c r="N27">
        <v>0.91666666666666663</v>
      </c>
      <c r="O27" t="s">
        <v>59</v>
      </c>
      <c r="P27" t="s">
        <v>60</v>
      </c>
    </row>
    <row r="28" spans="1:16">
      <c r="A28" s="1">
        <v>26</v>
      </c>
      <c r="B28" t="s">
        <v>204</v>
      </c>
      <c r="C28" t="s">
        <v>15</v>
      </c>
      <c r="D28" t="s">
        <v>21</v>
      </c>
      <c r="E28">
        <v>0.6055520423496481</v>
      </c>
      <c r="F28">
        <v>0.59760394644115566</v>
      </c>
      <c r="G28">
        <v>0.59760394644115566</v>
      </c>
      <c r="H28" s="3">
        <f t="shared" si="0"/>
        <v>0</v>
      </c>
      <c r="I28">
        <v>10.075088977813721</v>
      </c>
      <c r="J28">
        <v>83.709509134292603</v>
      </c>
      <c r="K28">
        <v>0.59760394644114567</v>
      </c>
      <c r="L28">
        <v>56.189821000000002</v>
      </c>
      <c r="M28">
        <v>377.51222799999999</v>
      </c>
      <c r="N28">
        <v>0.6428571428571429</v>
      </c>
      <c r="O28" t="s">
        <v>61</v>
      </c>
      <c r="P28" t="s">
        <v>62</v>
      </c>
    </row>
    <row r="29" spans="1:16">
      <c r="A29" s="1">
        <v>27</v>
      </c>
      <c r="B29" t="s">
        <v>205</v>
      </c>
      <c r="C29" t="s">
        <v>15</v>
      </c>
      <c r="D29" t="s">
        <v>16</v>
      </c>
      <c r="E29">
        <v>0.54791334736191288</v>
      </c>
      <c r="F29">
        <v>0.5527893840916126</v>
      </c>
      <c r="G29">
        <v>0.55279970081502117</v>
      </c>
      <c r="H29" s="3">
        <f t="shared" si="0"/>
        <v>1.8662679074093217E-3</v>
      </c>
      <c r="I29">
        <v>4.7286860942840576</v>
      </c>
      <c r="J29">
        <v>93.919439792633057</v>
      </c>
      <c r="K29">
        <v>0.55279970081359475</v>
      </c>
      <c r="L29">
        <v>67.367384999999999</v>
      </c>
      <c r="M29">
        <v>369.40720199999998</v>
      </c>
      <c r="N29">
        <v>0.78947368421052633</v>
      </c>
      <c r="O29" t="s">
        <v>63</v>
      </c>
      <c r="P29" t="s">
        <v>64</v>
      </c>
    </row>
    <row r="30" spans="1:16">
      <c r="A30" s="1">
        <v>28</v>
      </c>
      <c r="B30" t="s">
        <v>205</v>
      </c>
      <c r="C30" t="s">
        <v>15</v>
      </c>
      <c r="D30" t="s">
        <v>19</v>
      </c>
      <c r="E30">
        <v>0.43603932730058631</v>
      </c>
      <c r="F30">
        <v>0.43833685694150809</v>
      </c>
      <c r="G30">
        <v>0.43833685694150809</v>
      </c>
      <c r="H30" s="3">
        <f t="shared" si="0"/>
        <v>0</v>
      </c>
      <c r="I30">
        <v>10.401221036911011</v>
      </c>
      <c r="J30">
        <v>93.919439792633057</v>
      </c>
      <c r="K30">
        <v>0.43833685694150037</v>
      </c>
      <c r="L30">
        <v>41.674855999999998</v>
      </c>
      <c r="M30">
        <v>369.40720199999998</v>
      </c>
      <c r="N30">
        <v>0.95454545454545459</v>
      </c>
      <c r="O30" t="s">
        <v>65</v>
      </c>
      <c r="P30" t="s">
        <v>66</v>
      </c>
    </row>
    <row r="31" spans="1:16">
      <c r="A31" s="1">
        <v>29</v>
      </c>
      <c r="B31" t="s">
        <v>205</v>
      </c>
      <c r="C31" t="s">
        <v>15</v>
      </c>
      <c r="D31" t="s">
        <v>21</v>
      </c>
      <c r="E31">
        <v>0.60696001918182452</v>
      </c>
      <c r="F31">
        <v>0.59883720930232553</v>
      </c>
      <c r="G31">
        <v>0.5990133897110641</v>
      </c>
      <c r="H31" s="3">
        <f t="shared" si="0"/>
        <v>2.9411764705885777E-2</v>
      </c>
      <c r="I31">
        <v>8.7476799488067627</v>
      </c>
      <c r="J31">
        <v>93.919439792633057</v>
      </c>
      <c r="K31">
        <v>0.59901338971105422</v>
      </c>
      <c r="L31">
        <v>49.526848000000001</v>
      </c>
      <c r="M31">
        <v>369.40720199999998</v>
      </c>
      <c r="N31">
        <v>0.81818181818181823</v>
      </c>
      <c r="O31" t="s">
        <v>67</v>
      </c>
      <c r="P31" t="s">
        <v>68</v>
      </c>
    </row>
    <row r="32" spans="1:16">
      <c r="A32" s="1">
        <v>30</v>
      </c>
      <c r="B32" t="s">
        <v>206</v>
      </c>
      <c r="C32" t="s">
        <v>15</v>
      </c>
      <c r="D32" t="s">
        <v>16</v>
      </c>
      <c r="E32">
        <v>0.54408887683041662</v>
      </c>
      <c r="F32">
        <v>0.54682244919013734</v>
      </c>
      <c r="G32">
        <v>0.54689466625399774</v>
      </c>
      <c r="H32" s="3">
        <f t="shared" si="0"/>
        <v>1.3204931098534845E-2</v>
      </c>
      <c r="I32">
        <v>7.3831648826599121</v>
      </c>
      <c r="J32">
        <v>109.1506240367889</v>
      </c>
      <c r="K32">
        <v>0.54689466625266203</v>
      </c>
      <c r="L32">
        <v>87.005024000000006</v>
      </c>
      <c r="M32">
        <v>414.60107499999998</v>
      </c>
      <c r="N32">
        <v>0.9</v>
      </c>
      <c r="O32" t="s">
        <v>69</v>
      </c>
      <c r="P32" t="s">
        <v>70</v>
      </c>
    </row>
    <row r="33" spans="1:16">
      <c r="A33" s="1">
        <v>31</v>
      </c>
      <c r="B33" t="s">
        <v>206</v>
      </c>
      <c r="C33" t="s">
        <v>15</v>
      </c>
      <c r="D33" t="s">
        <v>19</v>
      </c>
      <c r="E33">
        <v>0.68369097295791725</v>
      </c>
      <c r="F33">
        <v>0.65785764622973919</v>
      </c>
      <c r="G33">
        <v>0.65785764622973919</v>
      </c>
      <c r="H33" s="3">
        <f t="shared" si="0"/>
        <v>0</v>
      </c>
      <c r="I33">
        <v>6.0907638072967529</v>
      </c>
      <c r="J33">
        <v>109.1506240367889</v>
      </c>
      <c r="K33">
        <v>0.65785764622974396</v>
      </c>
      <c r="L33">
        <v>44.191336</v>
      </c>
      <c r="M33">
        <v>414.60107499999998</v>
      </c>
      <c r="N33">
        <v>0.78260869565217395</v>
      </c>
      <c r="O33" t="s">
        <v>69</v>
      </c>
      <c r="P33" t="s">
        <v>71</v>
      </c>
    </row>
    <row r="34" spans="1:16">
      <c r="A34" s="1">
        <v>32</v>
      </c>
      <c r="B34" t="s">
        <v>206</v>
      </c>
      <c r="C34" t="s">
        <v>15</v>
      </c>
      <c r="D34" t="s">
        <v>21</v>
      </c>
      <c r="E34">
        <v>0.53118171162407246</v>
      </c>
      <c r="F34">
        <v>0.53268146582100062</v>
      </c>
      <c r="G34">
        <v>0.53294573643410859</v>
      </c>
      <c r="H34" s="3">
        <f t="shared" si="0"/>
        <v>4.958677685953073E-2</v>
      </c>
      <c r="I34">
        <v>9.460561990737915</v>
      </c>
      <c r="J34">
        <v>109.1506240367889</v>
      </c>
      <c r="K34">
        <v>0.53294573643409093</v>
      </c>
      <c r="L34">
        <v>50.045760000000001</v>
      </c>
      <c r="M34">
        <v>414.60107499999998</v>
      </c>
      <c r="N34">
        <v>0.88</v>
      </c>
      <c r="O34" t="s">
        <v>72</v>
      </c>
      <c r="P34" t="s">
        <v>73</v>
      </c>
    </row>
    <row r="35" spans="1:16">
      <c r="A35" s="1">
        <v>33</v>
      </c>
      <c r="B35" t="s">
        <v>207</v>
      </c>
      <c r="C35" t="s">
        <v>15</v>
      </c>
      <c r="D35" t="s">
        <v>16</v>
      </c>
      <c r="E35">
        <v>0.53051300484367525</v>
      </c>
      <c r="F35">
        <v>0.53327788094501183</v>
      </c>
      <c r="G35">
        <v>0.53360414732281025</v>
      </c>
      <c r="H35" s="3">
        <f t="shared" si="0"/>
        <v>6.1143898418961194E-2</v>
      </c>
      <c r="I35">
        <v>9.6878669261932373</v>
      </c>
      <c r="J35">
        <v>92.079463243484497</v>
      </c>
      <c r="K35">
        <v>0.53360414732152472</v>
      </c>
      <c r="L35">
        <v>105.189322</v>
      </c>
      <c r="M35">
        <v>439.11139300000002</v>
      </c>
      <c r="N35">
        <v>0.92307692307692313</v>
      </c>
      <c r="O35" t="s">
        <v>74</v>
      </c>
      <c r="P35" t="s">
        <v>75</v>
      </c>
    </row>
    <row r="36" spans="1:16">
      <c r="A36" s="1">
        <v>34</v>
      </c>
      <c r="B36" t="s">
        <v>207</v>
      </c>
      <c r="C36" t="s">
        <v>15</v>
      </c>
      <c r="D36" t="s">
        <v>19</v>
      </c>
      <c r="E36">
        <v>0.67879699463109944</v>
      </c>
      <c r="F36">
        <v>0.65451021846370683</v>
      </c>
      <c r="G36">
        <v>0.65451021846370683</v>
      </c>
      <c r="H36" s="3">
        <f t="shared" si="0"/>
        <v>0</v>
      </c>
      <c r="I36">
        <v>11.784255027771</v>
      </c>
      <c r="J36">
        <v>92.079463243484497</v>
      </c>
      <c r="K36">
        <v>0.65451021846371094</v>
      </c>
      <c r="L36">
        <v>58.076062</v>
      </c>
      <c r="M36">
        <v>439.11139300000002</v>
      </c>
      <c r="N36">
        <v>0.82352941176470584</v>
      </c>
      <c r="O36" t="s">
        <v>76</v>
      </c>
      <c r="P36" t="s">
        <v>77</v>
      </c>
    </row>
    <row r="37" spans="1:16">
      <c r="A37" s="1">
        <v>35</v>
      </c>
      <c r="B37" t="s">
        <v>207</v>
      </c>
      <c r="C37" t="s">
        <v>15</v>
      </c>
      <c r="D37" t="s">
        <v>21</v>
      </c>
      <c r="E37">
        <v>0.5059242715318264</v>
      </c>
      <c r="F37">
        <v>0.49365750528541219</v>
      </c>
      <c r="G37">
        <v>0.49365750528541219</v>
      </c>
      <c r="H37" s="3">
        <f t="shared" si="0"/>
        <v>0</v>
      </c>
      <c r="I37">
        <v>21.497052192687988</v>
      </c>
      <c r="J37">
        <v>92.079463243484497</v>
      </c>
      <c r="K37">
        <v>0.4936575052853957</v>
      </c>
      <c r="L37">
        <v>59.276812999999997</v>
      </c>
      <c r="M37">
        <v>439.11139300000002</v>
      </c>
      <c r="N37">
        <v>0.81818181818181823</v>
      </c>
      <c r="O37" t="s">
        <v>78</v>
      </c>
      <c r="P37" t="s">
        <v>79</v>
      </c>
    </row>
    <row r="38" spans="1:16">
      <c r="A38" s="1">
        <v>36</v>
      </c>
      <c r="B38" t="s">
        <v>208</v>
      </c>
      <c r="C38" t="s">
        <v>15</v>
      </c>
      <c r="D38" t="s">
        <v>16</v>
      </c>
      <c r="E38">
        <v>0.53136398658594919</v>
      </c>
      <c r="F38">
        <v>0.53692097389868965</v>
      </c>
      <c r="G38">
        <v>0.53692097389868965</v>
      </c>
      <c r="H38" s="3">
        <f t="shared" si="0"/>
        <v>0</v>
      </c>
      <c r="I38">
        <v>9.4678938388824463</v>
      </c>
      <c r="J38">
        <v>103.36076903343201</v>
      </c>
      <c r="K38">
        <v>0.53692097389739613</v>
      </c>
      <c r="L38">
        <v>112.442768</v>
      </c>
      <c r="M38">
        <v>571.013824</v>
      </c>
      <c r="N38">
        <v>1</v>
      </c>
      <c r="O38" t="s">
        <v>80</v>
      </c>
      <c r="P38" t="s">
        <v>80</v>
      </c>
    </row>
    <row r="39" spans="1:16">
      <c r="A39" s="1">
        <v>37</v>
      </c>
      <c r="B39" t="s">
        <v>208</v>
      </c>
      <c r="C39" t="s">
        <v>15</v>
      </c>
      <c r="D39" t="s">
        <v>19</v>
      </c>
      <c r="E39">
        <v>0.66286598216313752</v>
      </c>
      <c r="F39">
        <v>0.64781536293164188</v>
      </c>
      <c r="G39">
        <v>0.64781536293164188</v>
      </c>
      <c r="H39" s="3">
        <f t="shared" si="0"/>
        <v>0</v>
      </c>
      <c r="I39">
        <v>17.991520881652828</v>
      </c>
      <c r="J39">
        <v>103.36076903343201</v>
      </c>
      <c r="K39">
        <v>0.64781536293164454</v>
      </c>
      <c r="L39">
        <v>51.884079</v>
      </c>
      <c r="M39">
        <v>571.013824</v>
      </c>
      <c r="N39">
        <v>0.7</v>
      </c>
      <c r="O39" t="s">
        <v>81</v>
      </c>
      <c r="P39" t="s">
        <v>82</v>
      </c>
    </row>
    <row r="40" spans="1:16">
      <c r="A40" s="1">
        <v>38</v>
      </c>
      <c r="B40" t="s">
        <v>208</v>
      </c>
      <c r="C40" t="s">
        <v>15</v>
      </c>
      <c r="D40" t="s">
        <v>21</v>
      </c>
      <c r="E40">
        <v>0.50083023878703803</v>
      </c>
      <c r="F40">
        <v>0.48661028893587033</v>
      </c>
      <c r="G40">
        <v>0.48661028893587033</v>
      </c>
      <c r="H40" s="3">
        <f t="shared" si="0"/>
        <v>0</v>
      </c>
      <c r="I40">
        <v>14.37589693069458</v>
      </c>
      <c r="J40">
        <v>103.36076903343201</v>
      </c>
      <c r="K40">
        <v>0.48661028893585517</v>
      </c>
      <c r="L40">
        <v>53.523882999999998</v>
      </c>
      <c r="M40">
        <v>571.013824</v>
      </c>
      <c r="N40">
        <v>0.78787878787878785</v>
      </c>
      <c r="O40" t="s">
        <v>83</v>
      </c>
      <c r="P40" t="s">
        <v>84</v>
      </c>
    </row>
    <row r="41" spans="1:16">
      <c r="A41" s="1">
        <v>39</v>
      </c>
      <c r="B41" t="s">
        <v>209</v>
      </c>
      <c r="C41" t="s">
        <v>15</v>
      </c>
      <c r="D41" t="s">
        <v>16</v>
      </c>
      <c r="E41">
        <v>0.52624734084178382</v>
      </c>
      <c r="F41">
        <v>0.53035566903951303</v>
      </c>
      <c r="G41">
        <v>0.53035566903951303</v>
      </c>
      <c r="H41" s="3">
        <f t="shared" si="0"/>
        <v>0</v>
      </c>
      <c r="I41">
        <v>11.649163961410521</v>
      </c>
      <c r="J41">
        <v>108.88965702056881</v>
      </c>
      <c r="K41">
        <v>0.53035566903824949</v>
      </c>
      <c r="L41">
        <v>117.76284800000001</v>
      </c>
      <c r="M41">
        <v>548.25267099999996</v>
      </c>
      <c r="N41">
        <v>1</v>
      </c>
      <c r="O41" t="s">
        <v>85</v>
      </c>
      <c r="P41" t="s">
        <v>85</v>
      </c>
    </row>
    <row r="42" spans="1:16">
      <c r="A42" s="1">
        <v>40</v>
      </c>
      <c r="B42" t="s">
        <v>209</v>
      </c>
      <c r="C42" t="s">
        <v>15</v>
      </c>
      <c r="D42" t="s">
        <v>19</v>
      </c>
      <c r="E42">
        <v>0.67859135771946222</v>
      </c>
      <c r="F42">
        <v>0.65715292459478514</v>
      </c>
      <c r="G42">
        <v>0.65715292459478514</v>
      </c>
      <c r="H42" s="3">
        <f t="shared" si="0"/>
        <v>0</v>
      </c>
      <c r="I42">
        <v>9.8361470699310303</v>
      </c>
      <c r="J42">
        <v>108.88965702056881</v>
      </c>
      <c r="K42">
        <v>0.65715292459478969</v>
      </c>
      <c r="L42">
        <v>52.041269</v>
      </c>
      <c r="M42">
        <v>548.25267099999996</v>
      </c>
      <c r="N42">
        <v>0.65625</v>
      </c>
      <c r="O42" t="s">
        <v>85</v>
      </c>
      <c r="P42" t="s">
        <v>86</v>
      </c>
    </row>
    <row r="43" spans="1:16">
      <c r="A43" s="1">
        <v>41</v>
      </c>
      <c r="B43" t="s">
        <v>209</v>
      </c>
      <c r="C43" t="s">
        <v>15</v>
      </c>
      <c r="D43" t="s">
        <v>21</v>
      </c>
      <c r="E43">
        <v>0.50717190098091813</v>
      </c>
      <c r="F43">
        <v>0.49744538407329109</v>
      </c>
      <c r="G43">
        <v>0.51541578576462288</v>
      </c>
      <c r="H43" s="3">
        <f t="shared" si="0"/>
        <v>3.4865834900016845</v>
      </c>
      <c r="I43">
        <v>30.93433403968811</v>
      </c>
      <c r="J43">
        <v>108.88965702056881</v>
      </c>
      <c r="K43">
        <v>0.51541578576460856</v>
      </c>
      <c r="L43">
        <v>65.023691999999997</v>
      </c>
      <c r="M43">
        <v>548.25267099999996</v>
      </c>
      <c r="N43">
        <v>0.8666666666666667</v>
      </c>
      <c r="O43" t="s">
        <v>87</v>
      </c>
      <c r="P43" t="s">
        <v>88</v>
      </c>
    </row>
    <row r="44" spans="1:16">
      <c r="A44" s="1">
        <v>42</v>
      </c>
      <c r="B44" t="s">
        <v>210</v>
      </c>
      <c r="C44" t="s">
        <v>15</v>
      </c>
      <c r="D44" t="s">
        <v>16</v>
      </c>
      <c r="E44">
        <v>0.55128241740320105</v>
      </c>
      <c r="F44">
        <v>0.55814763231197784</v>
      </c>
      <c r="G44">
        <v>0.55814763231197784</v>
      </c>
      <c r="H44" s="3">
        <f t="shared" si="0"/>
        <v>0</v>
      </c>
      <c r="I44">
        <v>5.43703293800354</v>
      </c>
      <c r="J44">
        <v>108.8407571315765</v>
      </c>
      <c r="K44">
        <v>0.55814763231052544</v>
      </c>
      <c r="L44">
        <v>105.539867</v>
      </c>
      <c r="M44">
        <v>459.45757400000002</v>
      </c>
      <c r="N44">
        <v>1</v>
      </c>
      <c r="O44" t="s">
        <v>89</v>
      </c>
      <c r="P44" t="s">
        <v>89</v>
      </c>
    </row>
    <row r="45" spans="1:16">
      <c r="A45" s="1">
        <v>43</v>
      </c>
      <c r="B45" t="s">
        <v>210</v>
      </c>
      <c r="C45" t="s">
        <v>15</v>
      </c>
      <c r="D45" t="s">
        <v>19</v>
      </c>
      <c r="E45">
        <v>0.54423237105683131</v>
      </c>
      <c r="F45">
        <v>0.55320648343904155</v>
      </c>
      <c r="G45">
        <v>0.55338266384778012</v>
      </c>
      <c r="H45" s="3">
        <f t="shared" si="0"/>
        <v>3.1836994587714627E-2</v>
      </c>
      <c r="I45">
        <v>7.6002380847930908</v>
      </c>
      <c r="J45">
        <v>108.8407571315765</v>
      </c>
      <c r="K45">
        <v>0.55338266384776491</v>
      </c>
      <c r="L45">
        <v>51.777011000000002</v>
      </c>
      <c r="M45">
        <v>459.45757400000002</v>
      </c>
      <c r="N45">
        <v>0.9</v>
      </c>
      <c r="O45" t="s">
        <v>90</v>
      </c>
      <c r="P45" t="s">
        <v>91</v>
      </c>
    </row>
    <row r="46" spans="1:16">
      <c r="A46" s="1">
        <v>44</v>
      </c>
      <c r="B46" t="s">
        <v>210</v>
      </c>
      <c r="C46" t="s">
        <v>15</v>
      </c>
      <c r="D46" t="s">
        <v>21</v>
      </c>
      <c r="E46">
        <v>0.62340665864156997</v>
      </c>
      <c r="F46">
        <v>0.60623678646934465</v>
      </c>
      <c r="G46">
        <v>0.60623678646934465</v>
      </c>
      <c r="H46" s="3">
        <f t="shared" si="0"/>
        <v>0</v>
      </c>
      <c r="I46">
        <v>6.3882889747619629</v>
      </c>
      <c r="J46">
        <v>108.8407571315765</v>
      </c>
      <c r="K46">
        <v>0.60623678646933554</v>
      </c>
      <c r="L46">
        <v>44.014009000000001</v>
      </c>
      <c r="M46">
        <v>459.45757400000002</v>
      </c>
      <c r="N46">
        <v>0.625</v>
      </c>
      <c r="O46" t="s">
        <v>90</v>
      </c>
      <c r="P46" t="s">
        <v>92</v>
      </c>
    </row>
    <row r="47" spans="1:16">
      <c r="A47" s="1">
        <v>45</v>
      </c>
      <c r="B47" t="s">
        <v>211</v>
      </c>
      <c r="C47" t="s">
        <v>15</v>
      </c>
      <c r="D47" t="s">
        <v>16</v>
      </c>
      <c r="E47">
        <v>0.53674163005395692</v>
      </c>
      <c r="F47">
        <v>0.54170019601774466</v>
      </c>
      <c r="G47">
        <v>0.54236949344888075</v>
      </c>
      <c r="H47" s="3">
        <f t="shared" si="0"/>
        <v>0.12340248469361355</v>
      </c>
      <c r="I47">
        <v>14.029030084609991</v>
      </c>
      <c r="J47">
        <v>150.93432974815369</v>
      </c>
      <c r="K47">
        <v>0.5423694934475598</v>
      </c>
      <c r="L47">
        <v>116.071268</v>
      </c>
      <c r="M47">
        <v>517.11269100000004</v>
      </c>
      <c r="N47">
        <v>0.81818181818181823</v>
      </c>
      <c r="O47" t="s">
        <v>93</v>
      </c>
      <c r="P47" t="s">
        <v>94</v>
      </c>
    </row>
    <row r="48" spans="1:16">
      <c r="A48" s="1">
        <v>46</v>
      </c>
      <c r="B48" t="s">
        <v>211</v>
      </c>
      <c r="C48" t="s">
        <v>15</v>
      </c>
      <c r="D48" t="s">
        <v>19</v>
      </c>
      <c r="E48">
        <v>0.67231728319179906</v>
      </c>
      <c r="F48">
        <v>0.65697674418604646</v>
      </c>
      <c r="G48">
        <v>0.65697674418604646</v>
      </c>
      <c r="H48" s="3">
        <f t="shared" si="0"/>
        <v>0</v>
      </c>
      <c r="I48">
        <v>9.8422560691833496</v>
      </c>
      <c r="J48">
        <v>150.93432974815369</v>
      </c>
      <c r="K48">
        <v>0.65697674418605112</v>
      </c>
      <c r="L48">
        <v>52.001668000000002</v>
      </c>
      <c r="M48">
        <v>517.11269100000004</v>
      </c>
      <c r="N48">
        <v>0.72</v>
      </c>
      <c r="O48" t="s">
        <v>93</v>
      </c>
      <c r="P48" t="s">
        <v>95</v>
      </c>
    </row>
    <row r="49" spans="1:16">
      <c r="A49" s="1">
        <v>47</v>
      </c>
      <c r="B49" t="s">
        <v>211</v>
      </c>
      <c r="C49" t="s">
        <v>15</v>
      </c>
      <c r="D49" t="s">
        <v>21</v>
      </c>
      <c r="E49">
        <v>0.49338533238562199</v>
      </c>
      <c r="F49">
        <v>0.49374559548978147</v>
      </c>
      <c r="G49">
        <v>0.50977801268498946</v>
      </c>
      <c r="H49" s="3">
        <f t="shared" si="0"/>
        <v>3.1449801278728358</v>
      </c>
      <c r="I49">
        <v>11.71450805664062</v>
      </c>
      <c r="J49">
        <v>150.93432974815369</v>
      </c>
      <c r="K49">
        <v>0.50977801268497591</v>
      </c>
      <c r="L49">
        <v>64.820757</v>
      </c>
      <c r="M49">
        <v>517.11269100000004</v>
      </c>
      <c r="N49">
        <v>0.84615384615384615</v>
      </c>
      <c r="O49" t="s">
        <v>96</v>
      </c>
      <c r="P49" t="s">
        <v>97</v>
      </c>
    </row>
    <row r="50" spans="1:16">
      <c r="A50" s="1">
        <v>48</v>
      </c>
      <c r="B50" t="s">
        <v>212</v>
      </c>
      <c r="C50" t="s">
        <v>15</v>
      </c>
      <c r="D50" t="s">
        <v>16</v>
      </c>
      <c r="E50">
        <v>0.52686726272537954</v>
      </c>
      <c r="F50">
        <v>0.53114747756112657</v>
      </c>
      <c r="G50">
        <v>0.53181806458268854</v>
      </c>
      <c r="H50" s="3">
        <f t="shared" si="0"/>
        <v>0.12609331390203463</v>
      </c>
      <c r="I50">
        <v>19.1473548412323</v>
      </c>
      <c r="J50">
        <v>112.42712736129759</v>
      </c>
      <c r="K50">
        <v>0.53181806458139602</v>
      </c>
      <c r="L50">
        <v>97.272655</v>
      </c>
      <c r="M50">
        <v>452.08693799999998</v>
      </c>
      <c r="N50">
        <v>0.88461538461538458</v>
      </c>
      <c r="O50" t="s">
        <v>98</v>
      </c>
      <c r="P50" t="s">
        <v>99</v>
      </c>
    </row>
    <row r="51" spans="1:16">
      <c r="A51" s="1">
        <v>49</v>
      </c>
      <c r="B51" t="s">
        <v>212</v>
      </c>
      <c r="C51" t="s">
        <v>15</v>
      </c>
      <c r="D51" t="s">
        <v>19</v>
      </c>
      <c r="E51">
        <v>0.65481159521635002</v>
      </c>
      <c r="F51">
        <v>0.65697674418604646</v>
      </c>
      <c r="G51">
        <v>0.65697674418604646</v>
      </c>
      <c r="H51" s="3">
        <f t="shared" si="0"/>
        <v>0</v>
      </c>
      <c r="I51">
        <v>14.409117937088009</v>
      </c>
      <c r="J51">
        <v>112.42712736129759</v>
      </c>
      <c r="K51">
        <v>0.6569767441860509</v>
      </c>
      <c r="L51">
        <v>56.183546999999997</v>
      </c>
      <c r="M51">
        <v>452.08693799999998</v>
      </c>
      <c r="N51">
        <v>0.78125</v>
      </c>
      <c r="O51" t="s">
        <v>100</v>
      </c>
      <c r="P51" t="s">
        <v>101</v>
      </c>
    </row>
    <row r="52" spans="1:16">
      <c r="A52" s="1">
        <v>50</v>
      </c>
      <c r="B52" t="s">
        <v>212</v>
      </c>
      <c r="C52" t="s">
        <v>15</v>
      </c>
      <c r="D52" t="s">
        <v>21</v>
      </c>
      <c r="E52">
        <v>0.50296309291713415</v>
      </c>
      <c r="F52">
        <v>0.48854827343199431</v>
      </c>
      <c r="G52">
        <v>0.48872445384073288</v>
      </c>
      <c r="H52" s="3">
        <f t="shared" si="0"/>
        <v>3.6049026676283936E-2</v>
      </c>
      <c r="I52">
        <v>15.79514312744141</v>
      </c>
      <c r="J52">
        <v>112.42712736129759</v>
      </c>
      <c r="K52">
        <v>0.48872445384071689</v>
      </c>
      <c r="L52">
        <v>55.525573999999999</v>
      </c>
      <c r="M52">
        <v>452.08693799999998</v>
      </c>
      <c r="N52">
        <v>0.87096774193548387</v>
      </c>
      <c r="O52" t="s">
        <v>102</v>
      </c>
      <c r="P52" t="s">
        <v>103</v>
      </c>
    </row>
    <row r="53" spans="1:16">
      <c r="A53" s="1">
        <v>51</v>
      </c>
      <c r="B53" t="s">
        <v>213</v>
      </c>
      <c r="C53" t="s">
        <v>15</v>
      </c>
      <c r="D53" t="s">
        <v>16</v>
      </c>
      <c r="E53">
        <v>0.53987527361428767</v>
      </c>
      <c r="F53">
        <v>0.54291627978953871</v>
      </c>
      <c r="G53">
        <v>0.54291627978953871</v>
      </c>
      <c r="H53" s="3">
        <f t="shared" si="0"/>
        <v>0</v>
      </c>
      <c r="I53">
        <v>19.480665922164921</v>
      </c>
      <c r="J53">
        <v>109.6335117816925</v>
      </c>
      <c r="K53">
        <v>0.54291627978816448</v>
      </c>
      <c r="L53">
        <v>106.627697</v>
      </c>
      <c r="M53">
        <v>550.76449100000002</v>
      </c>
      <c r="N53">
        <v>1</v>
      </c>
      <c r="O53" t="s">
        <v>104</v>
      </c>
      <c r="P53" t="s">
        <v>104</v>
      </c>
    </row>
    <row r="54" spans="1:16">
      <c r="A54" s="1">
        <v>52</v>
      </c>
      <c r="B54" t="s">
        <v>213</v>
      </c>
      <c r="C54" t="s">
        <v>15</v>
      </c>
      <c r="D54" t="s">
        <v>19</v>
      </c>
      <c r="E54">
        <v>0.66166402351173881</v>
      </c>
      <c r="F54">
        <v>0.65768146582100073</v>
      </c>
      <c r="G54">
        <v>0.65768146582100073</v>
      </c>
      <c r="H54" s="3">
        <f t="shared" si="0"/>
        <v>0</v>
      </c>
      <c r="I54">
        <v>14.289592981338499</v>
      </c>
      <c r="J54">
        <v>109.6335117816925</v>
      </c>
      <c r="K54">
        <v>0.6576814658210054</v>
      </c>
      <c r="L54">
        <v>50.882505999999999</v>
      </c>
      <c r="M54">
        <v>550.76449100000002</v>
      </c>
      <c r="N54">
        <v>0.73076923076923073</v>
      </c>
      <c r="O54" t="s">
        <v>104</v>
      </c>
      <c r="P54" t="s">
        <v>105</v>
      </c>
    </row>
    <row r="55" spans="1:16">
      <c r="A55" s="1">
        <v>53</v>
      </c>
      <c r="B55" t="s">
        <v>213</v>
      </c>
      <c r="C55" t="s">
        <v>15</v>
      </c>
      <c r="D55" t="s">
        <v>21</v>
      </c>
      <c r="E55">
        <v>0.49039925516649752</v>
      </c>
      <c r="F55">
        <v>0.48185341789992953</v>
      </c>
      <c r="G55">
        <v>0.48264622973925297</v>
      </c>
      <c r="H55" s="3">
        <f t="shared" si="0"/>
        <v>0.16426355174301491</v>
      </c>
      <c r="I55">
        <v>17.451100826263431</v>
      </c>
      <c r="J55">
        <v>109.6335117816925</v>
      </c>
      <c r="K55">
        <v>0.48264622973924493</v>
      </c>
      <c r="L55">
        <v>92.872411999999997</v>
      </c>
      <c r="M55">
        <v>550.76449100000002</v>
      </c>
      <c r="N55">
        <v>0.84615384615384615</v>
      </c>
      <c r="O55" t="s">
        <v>106</v>
      </c>
      <c r="P55" t="s">
        <v>107</v>
      </c>
    </row>
    <row r="56" spans="1:16">
      <c r="A56" s="1">
        <v>54</v>
      </c>
      <c r="B56" t="s">
        <v>214</v>
      </c>
      <c r="C56" t="s">
        <v>15</v>
      </c>
      <c r="D56" t="s">
        <v>16</v>
      </c>
      <c r="E56">
        <v>0.51425634075542881</v>
      </c>
      <c r="F56">
        <v>0.52316491282368716</v>
      </c>
      <c r="G56">
        <v>0.52316491282368716</v>
      </c>
      <c r="H56" s="3">
        <f t="shared" si="0"/>
        <v>0</v>
      </c>
      <c r="I56">
        <v>26.084909915924069</v>
      </c>
      <c r="J56">
        <v>201.65899395942691</v>
      </c>
      <c r="K56">
        <v>0.52316491282241973</v>
      </c>
      <c r="L56">
        <v>87.185982999999993</v>
      </c>
      <c r="M56">
        <v>539.99480200000005</v>
      </c>
      <c r="N56">
        <v>1</v>
      </c>
      <c r="O56" t="s">
        <v>108</v>
      </c>
      <c r="P56" t="s">
        <v>108</v>
      </c>
    </row>
    <row r="57" spans="1:16">
      <c r="A57" s="1">
        <v>55</v>
      </c>
      <c r="B57" t="s">
        <v>214</v>
      </c>
      <c r="C57" t="s">
        <v>15</v>
      </c>
      <c r="D57" t="s">
        <v>19</v>
      </c>
      <c r="E57">
        <v>0.55423690605435738</v>
      </c>
      <c r="F57">
        <v>0.54281183932346722</v>
      </c>
      <c r="G57">
        <v>0.54281183932346722</v>
      </c>
      <c r="H57" s="3">
        <f t="shared" si="0"/>
        <v>0</v>
      </c>
      <c r="I57">
        <v>14.71879506111145</v>
      </c>
      <c r="J57">
        <v>201.65899395942691</v>
      </c>
      <c r="K57">
        <v>0.54281183932345078</v>
      </c>
      <c r="L57">
        <v>65.042561000000006</v>
      </c>
      <c r="M57">
        <v>539.99480200000005</v>
      </c>
      <c r="N57">
        <v>0.93939393939393945</v>
      </c>
      <c r="O57" t="s">
        <v>109</v>
      </c>
      <c r="P57" t="s">
        <v>110</v>
      </c>
    </row>
    <row r="58" spans="1:16">
      <c r="A58" s="1">
        <v>56</v>
      </c>
      <c r="B58" t="s">
        <v>214</v>
      </c>
      <c r="C58" t="s">
        <v>15</v>
      </c>
      <c r="D58" t="s">
        <v>21</v>
      </c>
      <c r="E58">
        <v>0.57125092673347178</v>
      </c>
      <c r="F58">
        <v>0.55214940098661025</v>
      </c>
      <c r="G58">
        <v>0.55214940098661025</v>
      </c>
      <c r="H58" s="3">
        <f t="shared" si="0"/>
        <v>0</v>
      </c>
      <c r="I58">
        <v>16.834916114807129</v>
      </c>
      <c r="J58">
        <v>201.65899395942691</v>
      </c>
      <c r="K58">
        <v>0.55214940098659493</v>
      </c>
      <c r="L58">
        <v>54.352294999999998</v>
      </c>
      <c r="M58">
        <v>539.99480200000005</v>
      </c>
      <c r="N58">
        <v>0.82857142857142863</v>
      </c>
      <c r="O58" t="s">
        <v>111</v>
      </c>
      <c r="P58" t="s">
        <v>112</v>
      </c>
    </row>
    <row r="59" spans="1:16">
      <c r="A59" s="1">
        <v>57</v>
      </c>
      <c r="B59" t="s">
        <v>215</v>
      </c>
      <c r="C59" t="s">
        <v>15</v>
      </c>
      <c r="D59" t="s">
        <v>16</v>
      </c>
      <c r="E59">
        <v>0.54369351612587613</v>
      </c>
      <c r="F59">
        <v>0.54702491488703175</v>
      </c>
      <c r="G59">
        <v>0.54702491488703175</v>
      </c>
      <c r="H59" s="3">
        <f t="shared" si="0"/>
        <v>0</v>
      </c>
      <c r="I59">
        <v>7.9996109008789063</v>
      </c>
      <c r="J59">
        <v>117.70892238616941</v>
      </c>
      <c r="K59">
        <v>0.54702491488566096</v>
      </c>
      <c r="L59">
        <v>136.79031000000001</v>
      </c>
      <c r="M59">
        <v>577.26442799999995</v>
      </c>
      <c r="N59">
        <v>1</v>
      </c>
      <c r="O59" t="s">
        <v>113</v>
      </c>
      <c r="P59" t="s">
        <v>113</v>
      </c>
    </row>
    <row r="60" spans="1:16">
      <c r="A60" s="1">
        <v>58</v>
      </c>
      <c r="B60" t="s">
        <v>215</v>
      </c>
      <c r="C60" t="s">
        <v>15</v>
      </c>
      <c r="D60" t="s">
        <v>19</v>
      </c>
      <c r="E60">
        <v>0.67094095094576311</v>
      </c>
      <c r="F60">
        <v>0.62958069062720212</v>
      </c>
      <c r="G60">
        <v>0.62958069062720212</v>
      </c>
      <c r="H60" s="3">
        <f t="shared" si="0"/>
        <v>0</v>
      </c>
      <c r="I60">
        <v>13.23379015922546</v>
      </c>
      <c r="J60">
        <v>117.70892238616941</v>
      </c>
      <c r="K60">
        <v>0.62958069062720301</v>
      </c>
      <c r="L60">
        <v>70.629721000000004</v>
      </c>
      <c r="M60">
        <v>577.26442799999995</v>
      </c>
      <c r="N60">
        <v>0.65517241379310343</v>
      </c>
      <c r="O60" t="s">
        <v>114</v>
      </c>
      <c r="P60" t="s">
        <v>115</v>
      </c>
    </row>
    <row r="61" spans="1:16">
      <c r="A61" s="1">
        <v>59</v>
      </c>
      <c r="B61" t="s">
        <v>215</v>
      </c>
      <c r="C61" t="s">
        <v>15</v>
      </c>
      <c r="D61" t="s">
        <v>21</v>
      </c>
      <c r="E61">
        <v>0.506449267698178</v>
      </c>
      <c r="F61">
        <v>0.48608174770965468</v>
      </c>
      <c r="G61">
        <v>0.5015856236786469</v>
      </c>
      <c r="H61" s="3">
        <f t="shared" si="0"/>
        <v>3.0909729539866473</v>
      </c>
      <c r="I61">
        <v>11.41124391555786</v>
      </c>
      <c r="J61">
        <v>117.70892238616941</v>
      </c>
      <c r="K61">
        <v>0.5015856236786338</v>
      </c>
      <c r="L61">
        <v>61.193494999999999</v>
      </c>
      <c r="M61">
        <v>577.26442799999995</v>
      </c>
      <c r="N61">
        <v>0.70370370370370372</v>
      </c>
      <c r="O61" t="s">
        <v>116</v>
      </c>
      <c r="P61" t="s">
        <v>117</v>
      </c>
    </row>
    <row r="62" spans="1:16">
      <c r="A62" s="1">
        <v>60</v>
      </c>
      <c r="B62" t="s">
        <v>216</v>
      </c>
      <c r="C62" t="s">
        <v>15</v>
      </c>
      <c r="D62" t="s">
        <v>16</v>
      </c>
      <c r="E62">
        <v>0.5032243271200173</v>
      </c>
      <c r="F62">
        <v>0.50630222841225625</v>
      </c>
      <c r="G62">
        <v>0.50635897039100386</v>
      </c>
      <c r="H62" s="3">
        <f t="shared" si="0"/>
        <v>1.1205880030878954E-2</v>
      </c>
      <c r="I62">
        <v>25.943138837814331</v>
      </c>
      <c r="J62">
        <v>154.35059809684751</v>
      </c>
      <c r="K62">
        <v>0.50635897038999023</v>
      </c>
      <c r="L62">
        <v>99.329177999999999</v>
      </c>
      <c r="M62">
        <v>467.62151</v>
      </c>
      <c r="N62">
        <v>0.88235294117647056</v>
      </c>
      <c r="O62" t="s">
        <v>118</v>
      </c>
      <c r="P62" t="s">
        <v>119</v>
      </c>
    </row>
    <row r="63" spans="1:16">
      <c r="A63" s="1">
        <v>61</v>
      </c>
      <c r="B63" t="s">
        <v>216</v>
      </c>
      <c r="C63" t="s">
        <v>15</v>
      </c>
      <c r="D63" t="s">
        <v>19</v>
      </c>
      <c r="E63">
        <v>0.59997372781814562</v>
      </c>
      <c r="F63">
        <v>0.63072586328400282</v>
      </c>
      <c r="G63">
        <v>0.63072586328400282</v>
      </c>
      <c r="H63" s="3">
        <f t="shared" si="0"/>
        <v>0</v>
      </c>
      <c r="I63">
        <v>45.086941957473748</v>
      </c>
      <c r="J63">
        <v>154.35059809684751</v>
      </c>
      <c r="K63">
        <v>0.63072586328400337</v>
      </c>
      <c r="L63">
        <v>61.394362000000001</v>
      </c>
      <c r="M63">
        <v>467.62151</v>
      </c>
      <c r="N63">
        <v>0.80952380952380953</v>
      </c>
      <c r="O63" t="s">
        <v>120</v>
      </c>
      <c r="P63" t="s">
        <v>121</v>
      </c>
    </row>
    <row r="64" spans="1:16">
      <c r="A64" s="1">
        <v>62</v>
      </c>
      <c r="B64" t="s">
        <v>216</v>
      </c>
      <c r="C64" t="s">
        <v>15</v>
      </c>
      <c r="D64" t="s">
        <v>21</v>
      </c>
      <c r="E64">
        <v>0.5141329432143954</v>
      </c>
      <c r="F64">
        <v>0.50546159267089497</v>
      </c>
      <c r="G64">
        <v>0.50695912614517269</v>
      </c>
      <c r="H64" s="3">
        <f t="shared" si="0"/>
        <v>0.29539530842746686</v>
      </c>
      <c r="I64">
        <v>24.411149978637699</v>
      </c>
      <c r="J64">
        <v>154.35059809684751</v>
      </c>
      <c r="K64">
        <v>0.50695912614516203</v>
      </c>
      <c r="L64">
        <v>55.389361000000001</v>
      </c>
      <c r="M64">
        <v>467.62151</v>
      </c>
      <c r="N64">
        <v>0.89473684210526316</v>
      </c>
      <c r="O64" t="s">
        <v>122</v>
      </c>
      <c r="P64" t="s">
        <v>123</v>
      </c>
    </row>
    <row r="65" spans="1:16">
      <c r="A65" s="1">
        <v>63</v>
      </c>
      <c r="B65" t="s">
        <v>217</v>
      </c>
      <c r="C65" t="s">
        <v>15</v>
      </c>
      <c r="D65" t="s">
        <v>16</v>
      </c>
      <c r="E65">
        <v>0.49476551949765268</v>
      </c>
      <c r="F65">
        <v>0.49897864438254408</v>
      </c>
      <c r="G65">
        <v>0.49897864438254408</v>
      </c>
      <c r="H65" s="3">
        <f t="shared" si="0"/>
        <v>0</v>
      </c>
      <c r="I65">
        <v>56.588647127151489</v>
      </c>
      <c r="J65">
        <v>101.223935842514</v>
      </c>
      <c r="K65">
        <v>0.49897864438171757</v>
      </c>
      <c r="L65">
        <v>87.630707999999998</v>
      </c>
      <c r="M65">
        <v>472.44138700000002</v>
      </c>
      <c r="N65">
        <v>1</v>
      </c>
      <c r="O65" t="s">
        <v>124</v>
      </c>
      <c r="P65" t="s">
        <v>124</v>
      </c>
    </row>
    <row r="66" spans="1:16">
      <c r="A66" s="1">
        <v>64</v>
      </c>
      <c r="B66" t="s">
        <v>217</v>
      </c>
      <c r="C66" t="s">
        <v>15</v>
      </c>
      <c r="D66" t="s">
        <v>19</v>
      </c>
      <c r="E66">
        <v>0.58526843649845373</v>
      </c>
      <c r="F66">
        <v>0.63407329105003518</v>
      </c>
      <c r="G66">
        <v>0.63407329105003518</v>
      </c>
      <c r="H66" s="3">
        <f t="shared" si="0"/>
        <v>0</v>
      </c>
      <c r="I66">
        <v>18.565068960189819</v>
      </c>
      <c r="J66">
        <v>101.223935842514</v>
      </c>
      <c r="K66">
        <v>0.63407329105003685</v>
      </c>
      <c r="L66">
        <v>51.593214000000003</v>
      </c>
      <c r="M66">
        <v>472.44138700000002</v>
      </c>
      <c r="N66">
        <v>0.79487179487179482</v>
      </c>
      <c r="O66" t="s">
        <v>124</v>
      </c>
      <c r="P66" t="s">
        <v>125</v>
      </c>
    </row>
    <row r="67" spans="1:16">
      <c r="A67" s="1">
        <v>65</v>
      </c>
      <c r="B67" t="s">
        <v>217</v>
      </c>
      <c r="C67" t="s">
        <v>15</v>
      </c>
      <c r="D67" t="s">
        <v>21</v>
      </c>
      <c r="E67">
        <v>0.5197610660616685</v>
      </c>
      <c r="F67">
        <v>0.5068710359408034</v>
      </c>
      <c r="G67">
        <v>0.5068710359408034</v>
      </c>
      <c r="H67" s="3">
        <f t="shared" ref="H67:H106" si="1">100*(G67-F67)/G67</f>
        <v>0</v>
      </c>
      <c r="I67">
        <v>21.888174057006839</v>
      </c>
      <c r="J67">
        <v>101.223935842514</v>
      </c>
      <c r="K67">
        <v>0.50687103594079297</v>
      </c>
      <c r="L67">
        <v>86.797301000000004</v>
      </c>
      <c r="M67">
        <v>472.44138700000002</v>
      </c>
      <c r="N67">
        <v>0.84615384615384615</v>
      </c>
      <c r="O67" t="s">
        <v>126</v>
      </c>
      <c r="P67" t="s">
        <v>127</v>
      </c>
    </row>
    <row r="68" spans="1:16">
      <c r="A68" s="1">
        <v>66</v>
      </c>
      <c r="B68" t="s">
        <v>218</v>
      </c>
      <c r="C68" t="s">
        <v>15</v>
      </c>
      <c r="D68" t="s">
        <v>16</v>
      </c>
      <c r="E68">
        <v>0.5570045786829263</v>
      </c>
      <c r="F68">
        <v>0.55791421644485717</v>
      </c>
      <c r="G68">
        <v>0.55791421644485717</v>
      </c>
      <c r="H68" s="3">
        <f t="shared" si="1"/>
        <v>0</v>
      </c>
      <c r="I68">
        <v>10.20867395401001</v>
      </c>
      <c r="J68">
        <v>125.21343946456911</v>
      </c>
      <c r="K68">
        <v>0.55791421644336503</v>
      </c>
      <c r="L68">
        <v>99.065651000000003</v>
      </c>
      <c r="M68">
        <v>530.23883599999999</v>
      </c>
      <c r="N68">
        <v>1</v>
      </c>
      <c r="O68" t="s">
        <v>128</v>
      </c>
      <c r="P68" t="s">
        <v>128</v>
      </c>
    </row>
    <row r="69" spans="1:16">
      <c r="A69" s="1">
        <v>67</v>
      </c>
      <c r="B69" t="s">
        <v>218</v>
      </c>
      <c r="C69" t="s">
        <v>15</v>
      </c>
      <c r="D69" t="s">
        <v>19</v>
      </c>
      <c r="E69">
        <v>0.53904282944296278</v>
      </c>
      <c r="F69">
        <v>0.52642706131078221</v>
      </c>
      <c r="G69">
        <v>0.53188865398167717</v>
      </c>
      <c r="H69" s="3">
        <f t="shared" si="1"/>
        <v>1.0268300761841613</v>
      </c>
      <c r="I69">
        <v>62.116991996765137</v>
      </c>
      <c r="J69">
        <v>125.21343946456911</v>
      </c>
      <c r="K69">
        <v>0.53188865398165952</v>
      </c>
      <c r="L69">
        <v>59.350253000000002</v>
      </c>
      <c r="M69">
        <v>530.23883599999999</v>
      </c>
      <c r="N69">
        <v>0.70833333333333337</v>
      </c>
      <c r="O69" t="s">
        <v>129</v>
      </c>
      <c r="P69" t="s">
        <v>130</v>
      </c>
    </row>
    <row r="70" spans="1:16">
      <c r="A70" s="1">
        <v>68</v>
      </c>
      <c r="B70" t="s">
        <v>218</v>
      </c>
      <c r="C70" t="s">
        <v>15</v>
      </c>
      <c r="D70" t="s">
        <v>21</v>
      </c>
      <c r="E70">
        <v>0.58814744170560807</v>
      </c>
      <c r="F70">
        <v>0.59090909090909094</v>
      </c>
      <c r="G70">
        <v>0.59143763213530653</v>
      </c>
      <c r="H70" s="3">
        <f t="shared" si="1"/>
        <v>8.9365504915094401E-2</v>
      </c>
      <c r="I70">
        <v>6.8660330772399902</v>
      </c>
      <c r="J70">
        <v>125.21343946456911</v>
      </c>
      <c r="K70">
        <v>0.59143763213529577</v>
      </c>
      <c r="L70">
        <v>81.277653000000001</v>
      </c>
      <c r="M70">
        <v>530.23883599999999</v>
      </c>
      <c r="N70">
        <v>0.88</v>
      </c>
      <c r="O70" t="s">
        <v>131</v>
      </c>
      <c r="P70" t="s">
        <v>132</v>
      </c>
    </row>
    <row r="71" spans="1:16">
      <c r="A71" s="1">
        <v>69</v>
      </c>
      <c r="B71" t="s">
        <v>219</v>
      </c>
      <c r="C71" t="s">
        <v>15</v>
      </c>
      <c r="D71" t="s">
        <v>16</v>
      </c>
      <c r="E71">
        <v>0.5299381008177817</v>
      </c>
      <c r="F71">
        <v>0.53716599607964499</v>
      </c>
      <c r="G71">
        <v>0.53716599607964499</v>
      </c>
      <c r="H71" s="3">
        <f t="shared" si="1"/>
        <v>0</v>
      </c>
      <c r="I71">
        <v>17.074099063873291</v>
      </c>
      <c r="J71">
        <v>111.91445469856259</v>
      </c>
      <c r="K71">
        <v>0.53716599607828508</v>
      </c>
      <c r="L71">
        <v>98.443241999999998</v>
      </c>
      <c r="M71">
        <v>562.69377499999996</v>
      </c>
      <c r="N71">
        <v>1</v>
      </c>
      <c r="O71" t="s">
        <v>133</v>
      </c>
      <c r="P71" t="s">
        <v>133</v>
      </c>
    </row>
    <row r="72" spans="1:16">
      <c r="A72" s="1">
        <v>70</v>
      </c>
      <c r="B72" t="s">
        <v>219</v>
      </c>
      <c r="C72" t="s">
        <v>15</v>
      </c>
      <c r="D72" t="s">
        <v>19</v>
      </c>
      <c r="E72">
        <v>0.50455502811663255</v>
      </c>
      <c r="F72">
        <v>0.4904862579281184</v>
      </c>
      <c r="G72">
        <v>0.4904862579281184</v>
      </c>
      <c r="H72" s="3">
        <f t="shared" si="1"/>
        <v>0</v>
      </c>
      <c r="I72">
        <v>16.837325096130371</v>
      </c>
      <c r="J72">
        <v>111.91445469856259</v>
      </c>
      <c r="K72">
        <v>0.49048625792810641</v>
      </c>
      <c r="L72">
        <v>88.637203</v>
      </c>
      <c r="M72">
        <v>562.69377499999996</v>
      </c>
      <c r="N72">
        <v>0.93333333333333335</v>
      </c>
      <c r="O72" t="s">
        <v>134</v>
      </c>
      <c r="P72" t="s">
        <v>135</v>
      </c>
    </row>
    <row r="73" spans="1:16">
      <c r="A73" s="1">
        <v>71</v>
      </c>
      <c r="B73" t="s">
        <v>219</v>
      </c>
      <c r="C73" t="s">
        <v>15</v>
      </c>
      <c r="D73" t="s">
        <v>21</v>
      </c>
      <c r="E73">
        <v>0.61866983879168569</v>
      </c>
      <c r="F73">
        <v>0.60658914728682178</v>
      </c>
      <c r="G73">
        <v>0.60658914728682178</v>
      </c>
      <c r="H73" s="3">
        <f t="shared" si="1"/>
        <v>0</v>
      </c>
      <c r="I73">
        <v>14.960518836975099</v>
      </c>
      <c r="J73">
        <v>111.91445469856259</v>
      </c>
      <c r="K73">
        <v>0.60658914728681268</v>
      </c>
      <c r="L73">
        <v>59.769705000000002</v>
      </c>
      <c r="M73">
        <v>562.69377499999996</v>
      </c>
      <c r="N73">
        <v>0.75</v>
      </c>
      <c r="O73" t="s">
        <v>136</v>
      </c>
      <c r="P73" t="s">
        <v>137</v>
      </c>
    </row>
    <row r="74" spans="1:16">
      <c r="A74" s="1">
        <v>72</v>
      </c>
      <c r="B74" t="s">
        <v>220</v>
      </c>
      <c r="C74" t="s">
        <v>15</v>
      </c>
      <c r="D74" t="s">
        <v>16</v>
      </c>
      <c r="E74">
        <v>0.53241389090944058</v>
      </c>
      <c r="F74">
        <v>0.53623104302073665</v>
      </c>
      <c r="G74">
        <v>0.53623104302073665</v>
      </c>
      <c r="H74" s="3">
        <f t="shared" si="1"/>
        <v>0</v>
      </c>
      <c r="I74">
        <v>22.060004949569699</v>
      </c>
      <c r="J74">
        <v>110.3395547866821</v>
      </c>
      <c r="K74">
        <v>0.53623104301944524</v>
      </c>
      <c r="L74">
        <v>107.15682099999999</v>
      </c>
      <c r="M74">
        <v>571.38707499999998</v>
      </c>
      <c r="N74">
        <v>1</v>
      </c>
      <c r="O74" t="s">
        <v>138</v>
      </c>
      <c r="P74" t="s">
        <v>138</v>
      </c>
    </row>
    <row r="75" spans="1:16">
      <c r="A75" s="1">
        <v>73</v>
      </c>
      <c r="B75" t="s">
        <v>220</v>
      </c>
      <c r="C75" t="s">
        <v>15</v>
      </c>
      <c r="D75" t="s">
        <v>19</v>
      </c>
      <c r="E75">
        <v>0.64623607005015993</v>
      </c>
      <c r="F75">
        <v>0.63319238900634245</v>
      </c>
      <c r="G75">
        <v>0.63319238900634245</v>
      </c>
      <c r="H75" s="3">
        <f t="shared" si="1"/>
        <v>0</v>
      </c>
      <c r="I75">
        <v>10.95696711540222</v>
      </c>
      <c r="J75">
        <v>110.3395547866821</v>
      </c>
      <c r="K75">
        <v>0.63319238900634378</v>
      </c>
      <c r="L75">
        <v>45.206307000000002</v>
      </c>
      <c r="M75">
        <v>571.38707499999998</v>
      </c>
      <c r="N75">
        <v>0.72413793103448276</v>
      </c>
      <c r="O75" t="s">
        <v>138</v>
      </c>
      <c r="P75" t="s">
        <v>139</v>
      </c>
    </row>
    <row r="76" spans="1:16">
      <c r="A76" s="1">
        <v>74</v>
      </c>
      <c r="B76" t="s">
        <v>220</v>
      </c>
      <c r="C76" t="s">
        <v>15</v>
      </c>
      <c r="D76" t="s">
        <v>21</v>
      </c>
      <c r="E76">
        <v>0.56192601113054241</v>
      </c>
      <c r="F76">
        <v>0.56025369978858353</v>
      </c>
      <c r="G76">
        <v>0.56042988019732209</v>
      </c>
      <c r="H76" s="3">
        <f t="shared" si="1"/>
        <v>3.1436655139896769E-2</v>
      </c>
      <c r="I76">
        <v>20.482583045959469</v>
      </c>
      <c r="J76">
        <v>110.3395547866821</v>
      </c>
      <c r="K76">
        <v>0.56042988019730766</v>
      </c>
      <c r="L76">
        <v>44.158709000000002</v>
      </c>
      <c r="M76">
        <v>571.38707499999998</v>
      </c>
      <c r="N76">
        <v>0.70967741935483875</v>
      </c>
      <c r="O76" t="s">
        <v>140</v>
      </c>
      <c r="P76" t="s">
        <v>141</v>
      </c>
    </row>
    <row r="77" spans="1:16">
      <c r="A77" s="1">
        <v>75</v>
      </c>
      <c r="B77" t="s">
        <v>221</v>
      </c>
      <c r="C77" t="s">
        <v>15</v>
      </c>
      <c r="D77" t="s">
        <v>16</v>
      </c>
      <c r="E77">
        <v>0.52783298602640039</v>
      </c>
      <c r="F77">
        <v>0.53348550500361092</v>
      </c>
      <c r="G77">
        <v>0.53384530073248726</v>
      </c>
      <c r="H77" s="3">
        <f t="shared" si="1"/>
        <v>6.7397002161987712E-2</v>
      </c>
      <c r="I77">
        <v>16.36688494682312</v>
      </c>
      <c r="J77">
        <v>98.855041980743408</v>
      </c>
      <c r="K77">
        <v>0.53384530073114067</v>
      </c>
      <c r="L77">
        <v>214.90769299999999</v>
      </c>
      <c r="M77">
        <v>519.45569499999999</v>
      </c>
      <c r="N77">
        <v>0.84</v>
      </c>
      <c r="O77" t="s">
        <v>142</v>
      </c>
      <c r="P77" t="s">
        <v>143</v>
      </c>
    </row>
    <row r="78" spans="1:16">
      <c r="A78" s="1">
        <v>76</v>
      </c>
      <c r="B78" t="s">
        <v>221</v>
      </c>
      <c r="C78" t="s">
        <v>15</v>
      </c>
      <c r="D78" t="s">
        <v>19</v>
      </c>
      <c r="E78">
        <v>0.4162940347441545</v>
      </c>
      <c r="F78">
        <v>0.41296687808315719</v>
      </c>
      <c r="G78">
        <v>0.41349541930937278</v>
      </c>
      <c r="H78" s="3">
        <f t="shared" si="1"/>
        <v>0.12782275244992411</v>
      </c>
      <c r="I78">
        <v>20.29449200630188</v>
      </c>
      <c r="J78">
        <v>98.855041980743408</v>
      </c>
      <c r="K78">
        <v>0.41349541930936479</v>
      </c>
      <c r="L78">
        <v>111.53315600000001</v>
      </c>
      <c r="M78">
        <v>519.45569499999999</v>
      </c>
      <c r="N78">
        <v>0.8666666666666667</v>
      </c>
      <c r="O78" t="s">
        <v>144</v>
      </c>
      <c r="P78" t="s">
        <v>145</v>
      </c>
    </row>
    <row r="79" spans="1:16">
      <c r="A79" s="1">
        <v>77</v>
      </c>
      <c r="B79" t="s">
        <v>221</v>
      </c>
      <c r="C79" t="s">
        <v>15</v>
      </c>
      <c r="D79" t="s">
        <v>21</v>
      </c>
      <c r="E79">
        <v>0.61090474655515226</v>
      </c>
      <c r="F79">
        <v>0.60852713178294582</v>
      </c>
      <c r="G79">
        <v>0.60870331219168428</v>
      </c>
      <c r="H79" s="3">
        <f t="shared" si="1"/>
        <v>2.8943560057872249E-2</v>
      </c>
      <c r="I79">
        <v>24.639715909957889</v>
      </c>
      <c r="J79">
        <v>98.855041980743408</v>
      </c>
      <c r="K79">
        <v>0.60870331219167551</v>
      </c>
      <c r="L79">
        <v>127.36243399999999</v>
      </c>
      <c r="M79">
        <v>519.45569499999999</v>
      </c>
      <c r="N79">
        <v>0.76666666666666672</v>
      </c>
      <c r="O79" t="s">
        <v>146</v>
      </c>
      <c r="P79" t="s">
        <v>147</v>
      </c>
    </row>
    <row r="80" spans="1:16">
      <c r="A80" s="1">
        <v>78</v>
      </c>
      <c r="B80" t="s">
        <v>222</v>
      </c>
      <c r="C80" t="s">
        <v>15</v>
      </c>
      <c r="D80" t="s">
        <v>16</v>
      </c>
      <c r="E80">
        <v>0.51225074712311247</v>
      </c>
      <c r="F80">
        <v>0.51871453626328279</v>
      </c>
      <c r="G80">
        <v>0.51879449086969975</v>
      </c>
      <c r="H80" s="3">
        <f t="shared" si="1"/>
        <v>1.54116143914579E-2</v>
      </c>
      <c r="I80">
        <v>26.214418888092041</v>
      </c>
      <c r="J80">
        <v>175.72520422935489</v>
      </c>
      <c r="K80">
        <v>0.51879449086852747</v>
      </c>
      <c r="L80">
        <v>84.354718000000005</v>
      </c>
      <c r="M80">
        <v>411.15699000000001</v>
      </c>
      <c r="N80">
        <v>0.93103448275862066</v>
      </c>
      <c r="O80" t="s">
        <v>148</v>
      </c>
      <c r="P80" t="s">
        <v>149</v>
      </c>
    </row>
    <row r="81" spans="1:16">
      <c r="A81" s="1">
        <v>79</v>
      </c>
      <c r="B81" t="s">
        <v>222</v>
      </c>
      <c r="C81" t="s">
        <v>15</v>
      </c>
      <c r="D81" t="s">
        <v>19</v>
      </c>
      <c r="E81">
        <v>0.62933238581721007</v>
      </c>
      <c r="F81">
        <v>0.65556730091613824</v>
      </c>
      <c r="G81">
        <v>0.65556730091613824</v>
      </c>
      <c r="H81" s="3">
        <f t="shared" si="1"/>
        <v>0</v>
      </c>
      <c r="I81">
        <v>21.483750104904171</v>
      </c>
      <c r="J81">
        <v>175.72520422935489</v>
      </c>
      <c r="K81">
        <v>0.65556730091614224</v>
      </c>
      <c r="L81">
        <v>61.246153999999997</v>
      </c>
      <c r="M81">
        <v>411.15699000000001</v>
      </c>
      <c r="N81">
        <v>0.80555555555555558</v>
      </c>
      <c r="O81" t="s">
        <v>150</v>
      </c>
      <c r="P81" t="s">
        <v>151</v>
      </c>
    </row>
    <row r="82" spans="1:16">
      <c r="A82" s="1">
        <v>80</v>
      </c>
      <c r="B82" t="s">
        <v>222</v>
      </c>
      <c r="C82" t="s">
        <v>15</v>
      </c>
      <c r="D82" t="s">
        <v>21</v>
      </c>
      <c r="E82">
        <v>0.50214069946696305</v>
      </c>
      <c r="F82">
        <v>0.495507399577167</v>
      </c>
      <c r="G82">
        <v>0.49621212121212122</v>
      </c>
      <c r="H82" s="3">
        <f t="shared" si="1"/>
        <v>0.1420202378839038</v>
      </c>
      <c r="I82">
        <v>25.027683019638062</v>
      </c>
      <c r="J82">
        <v>175.72520422935489</v>
      </c>
      <c r="K82">
        <v>0.49621212121210773</v>
      </c>
      <c r="L82">
        <v>57.909230999999998</v>
      </c>
      <c r="M82">
        <v>411.15699000000001</v>
      </c>
      <c r="N82">
        <v>0.87878787878787878</v>
      </c>
      <c r="O82" t="s">
        <v>152</v>
      </c>
      <c r="P82" t="s">
        <v>153</v>
      </c>
    </row>
    <row r="83" spans="1:16">
      <c r="A83" s="1">
        <v>81</v>
      </c>
      <c r="B83" t="s">
        <v>223</v>
      </c>
      <c r="C83" t="s">
        <v>15</v>
      </c>
      <c r="D83" t="s">
        <v>16</v>
      </c>
      <c r="E83">
        <v>0.51826855067594779</v>
      </c>
      <c r="F83">
        <v>0.52217837614773543</v>
      </c>
      <c r="G83">
        <v>0.52247756112658617</v>
      </c>
      <c r="H83" s="3">
        <f t="shared" si="1"/>
        <v>5.7262742194251648E-2</v>
      </c>
      <c r="I83">
        <v>53.492987871170037</v>
      </c>
      <c r="J83">
        <v>98.044370651245117</v>
      </c>
      <c r="K83">
        <v>0.52247756112536015</v>
      </c>
      <c r="L83">
        <v>93.553269</v>
      </c>
      <c r="M83">
        <v>388.55621400000001</v>
      </c>
      <c r="N83">
        <v>0.86206896551724133</v>
      </c>
      <c r="O83" t="s">
        <v>154</v>
      </c>
      <c r="P83" t="s">
        <v>155</v>
      </c>
    </row>
    <row r="84" spans="1:16">
      <c r="A84" s="1">
        <v>82</v>
      </c>
      <c r="B84" t="s">
        <v>223</v>
      </c>
      <c r="C84" t="s">
        <v>15</v>
      </c>
      <c r="D84" t="s">
        <v>19</v>
      </c>
      <c r="E84">
        <v>0.6618653901229512</v>
      </c>
      <c r="F84">
        <v>0.65662438336856932</v>
      </c>
      <c r="G84">
        <v>0.65662438336856932</v>
      </c>
      <c r="H84" s="3">
        <f t="shared" si="1"/>
        <v>0</v>
      </c>
      <c r="I84">
        <v>16.986816883087162</v>
      </c>
      <c r="J84">
        <v>98.044370651245117</v>
      </c>
      <c r="K84">
        <v>0.65662438336857398</v>
      </c>
      <c r="L84">
        <v>44.705460000000002</v>
      </c>
      <c r="M84">
        <v>388.55621400000001</v>
      </c>
      <c r="N84">
        <v>0.8125</v>
      </c>
      <c r="O84" t="s">
        <v>154</v>
      </c>
      <c r="P84" t="s">
        <v>156</v>
      </c>
    </row>
    <row r="85" spans="1:16">
      <c r="A85" s="1">
        <v>83</v>
      </c>
      <c r="B85" t="s">
        <v>223</v>
      </c>
      <c r="C85" t="s">
        <v>15</v>
      </c>
      <c r="D85" t="s">
        <v>21</v>
      </c>
      <c r="E85">
        <v>0.55174410978330157</v>
      </c>
      <c r="F85">
        <v>0.56069415081042995</v>
      </c>
      <c r="G85">
        <v>0.56183932346723042</v>
      </c>
      <c r="H85" s="3">
        <f t="shared" si="1"/>
        <v>0.20382565067417674</v>
      </c>
      <c r="I85">
        <v>46.026676893234253</v>
      </c>
      <c r="J85">
        <v>98.044370651245117</v>
      </c>
      <c r="K85">
        <v>0.56183932346721466</v>
      </c>
      <c r="L85">
        <v>73.976595000000003</v>
      </c>
      <c r="M85">
        <v>388.55621400000001</v>
      </c>
      <c r="N85">
        <v>0.94594594594594594</v>
      </c>
      <c r="O85" t="s">
        <v>157</v>
      </c>
      <c r="P85" t="s">
        <v>158</v>
      </c>
    </row>
    <row r="86" spans="1:16">
      <c r="A86" s="1">
        <v>84</v>
      </c>
      <c r="B86" t="s">
        <v>224</v>
      </c>
      <c r="C86" t="s">
        <v>15</v>
      </c>
      <c r="D86" t="s">
        <v>16</v>
      </c>
      <c r="E86">
        <v>0.51181772342471132</v>
      </c>
      <c r="F86">
        <v>0.51685365727844834</v>
      </c>
      <c r="G86">
        <v>0.51685365727844834</v>
      </c>
      <c r="H86" s="3">
        <f t="shared" si="1"/>
        <v>0</v>
      </c>
      <c r="I86">
        <v>17.537952899932861</v>
      </c>
      <c r="J86">
        <v>89.479946136474609</v>
      </c>
      <c r="K86">
        <v>0.51685365727723953</v>
      </c>
      <c r="L86">
        <v>72.001559</v>
      </c>
      <c r="M86">
        <v>395.07164899999998</v>
      </c>
      <c r="N86">
        <v>1</v>
      </c>
      <c r="O86" t="s">
        <v>159</v>
      </c>
      <c r="P86" t="s">
        <v>159</v>
      </c>
    </row>
    <row r="87" spans="1:16">
      <c r="A87" s="1">
        <v>85</v>
      </c>
      <c r="B87" t="s">
        <v>224</v>
      </c>
      <c r="C87" t="s">
        <v>15</v>
      </c>
      <c r="D87" t="s">
        <v>19</v>
      </c>
      <c r="E87">
        <v>0.59422093149850141</v>
      </c>
      <c r="F87">
        <v>0.63072586328400282</v>
      </c>
      <c r="G87">
        <v>0.63072586328400282</v>
      </c>
      <c r="H87" s="3">
        <f t="shared" si="1"/>
        <v>0</v>
      </c>
      <c r="I87">
        <v>14.270527839660639</v>
      </c>
      <c r="J87">
        <v>89.479946136474609</v>
      </c>
      <c r="K87">
        <v>0.63072586328400337</v>
      </c>
      <c r="L87">
        <v>58.288559999999997</v>
      </c>
      <c r="M87">
        <v>395.07164899999998</v>
      </c>
      <c r="N87">
        <v>0.88235294117647056</v>
      </c>
      <c r="O87" t="s">
        <v>160</v>
      </c>
      <c r="P87" t="s">
        <v>161</v>
      </c>
    </row>
    <row r="88" spans="1:16">
      <c r="A88" s="1">
        <v>86</v>
      </c>
      <c r="B88" t="s">
        <v>224</v>
      </c>
      <c r="C88" t="s">
        <v>15</v>
      </c>
      <c r="D88" t="s">
        <v>21</v>
      </c>
      <c r="E88">
        <v>0.49892010715723328</v>
      </c>
      <c r="F88">
        <v>0.48731501057082449</v>
      </c>
      <c r="G88">
        <v>0.48731501057082449</v>
      </c>
      <c r="H88" s="3">
        <f t="shared" si="1"/>
        <v>0</v>
      </c>
      <c r="I88">
        <v>15.10777807235718</v>
      </c>
      <c r="J88">
        <v>89.479946136474609</v>
      </c>
      <c r="K88">
        <v>0.48731501057081039</v>
      </c>
      <c r="L88">
        <v>46.484794999999998</v>
      </c>
      <c r="M88">
        <v>395.07164899999998</v>
      </c>
      <c r="N88">
        <v>0.88888888888888884</v>
      </c>
      <c r="O88" t="s">
        <v>162</v>
      </c>
      <c r="P88" t="s">
        <v>163</v>
      </c>
    </row>
    <row r="89" spans="1:16">
      <c r="A89" s="1">
        <v>87</v>
      </c>
      <c r="B89" t="s">
        <v>225</v>
      </c>
      <c r="C89" t="s">
        <v>15</v>
      </c>
      <c r="D89" t="s">
        <v>16</v>
      </c>
      <c r="E89">
        <v>0.54352476773006242</v>
      </c>
      <c r="F89">
        <v>0.54543227071082223</v>
      </c>
      <c r="G89">
        <v>0.54528912617352732</v>
      </c>
      <c r="H89" s="5">
        <f t="shared" si="1"/>
        <v>-2.6251126315209494E-2</v>
      </c>
      <c r="I89">
        <v>12.30300188064575</v>
      </c>
      <c r="J89">
        <v>95.726741075515747</v>
      </c>
      <c r="K89">
        <v>0.54528912617214698</v>
      </c>
      <c r="L89">
        <v>194.02400600000001</v>
      </c>
      <c r="M89">
        <v>431.74331599999999</v>
      </c>
      <c r="N89">
        <v>0.90909090909090906</v>
      </c>
      <c r="O89" t="s">
        <v>164</v>
      </c>
      <c r="P89" t="s">
        <v>165</v>
      </c>
    </row>
    <row r="90" spans="1:16">
      <c r="A90" s="1">
        <v>88</v>
      </c>
      <c r="B90" t="s">
        <v>225</v>
      </c>
      <c r="C90" t="s">
        <v>15</v>
      </c>
      <c r="D90" t="s">
        <v>19</v>
      </c>
      <c r="E90">
        <v>0.67217820702596209</v>
      </c>
      <c r="F90">
        <v>0.65768146582100073</v>
      </c>
      <c r="G90">
        <v>0.65768146582100073</v>
      </c>
      <c r="H90" s="3">
        <f t="shared" si="1"/>
        <v>0</v>
      </c>
      <c r="I90">
        <v>44.359968900680542</v>
      </c>
      <c r="J90">
        <v>95.726741075515747</v>
      </c>
      <c r="K90">
        <v>0.6576814658210054</v>
      </c>
      <c r="L90">
        <v>40.681139000000002</v>
      </c>
      <c r="M90">
        <v>431.74331599999999</v>
      </c>
      <c r="N90">
        <v>0.76</v>
      </c>
      <c r="O90" t="s">
        <v>164</v>
      </c>
      <c r="P90" t="s">
        <v>166</v>
      </c>
    </row>
    <row r="91" spans="1:16">
      <c r="A91" s="1">
        <v>89</v>
      </c>
      <c r="B91" t="s">
        <v>225</v>
      </c>
      <c r="C91" t="s">
        <v>15</v>
      </c>
      <c r="D91" t="s">
        <v>21</v>
      </c>
      <c r="E91">
        <v>0.54422295844128632</v>
      </c>
      <c r="F91">
        <v>0.52323819591261456</v>
      </c>
      <c r="G91">
        <v>0.52866455250176181</v>
      </c>
      <c r="H91" s="3">
        <f t="shared" si="1"/>
        <v>1.0264271669943614</v>
      </c>
      <c r="I91">
        <v>9.0222508907318115</v>
      </c>
      <c r="J91">
        <v>95.726741075515747</v>
      </c>
      <c r="K91">
        <v>0.52866455250174393</v>
      </c>
      <c r="L91">
        <v>57.524639999999998</v>
      </c>
      <c r="M91">
        <v>431.74331599999999</v>
      </c>
      <c r="N91">
        <v>0.76923076923076927</v>
      </c>
      <c r="O91" t="s">
        <v>167</v>
      </c>
      <c r="P91" t="s">
        <v>168</v>
      </c>
    </row>
    <row r="92" spans="1:16">
      <c r="A92" s="1">
        <v>90</v>
      </c>
      <c r="B92" t="s">
        <v>226</v>
      </c>
      <c r="C92" t="s">
        <v>15</v>
      </c>
      <c r="D92" t="s">
        <v>16</v>
      </c>
      <c r="E92">
        <v>0.54979523368594918</v>
      </c>
      <c r="F92">
        <v>0.55255338904363971</v>
      </c>
      <c r="G92">
        <v>0.55255338904363971</v>
      </c>
      <c r="H92" s="3">
        <f t="shared" si="1"/>
        <v>0</v>
      </c>
      <c r="I92">
        <v>8.2757289409637451</v>
      </c>
      <c r="J92">
        <v>104.3574867248535</v>
      </c>
      <c r="K92">
        <v>0.55255338904228279</v>
      </c>
      <c r="L92">
        <v>75.239912000000004</v>
      </c>
      <c r="M92">
        <v>417.89945399999999</v>
      </c>
      <c r="N92">
        <v>1</v>
      </c>
      <c r="O92" t="s">
        <v>169</v>
      </c>
      <c r="P92" t="s">
        <v>169</v>
      </c>
    </row>
    <row r="93" spans="1:16">
      <c r="A93" s="1">
        <v>91</v>
      </c>
      <c r="B93" t="s">
        <v>226</v>
      </c>
      <c r="C93" t="s">
        <v>15</v>
      </c>
      <c r="D93" t="s">
        <v>19</v>
      </c>
      <c r="E93">
        <v>0.6783090837001744</v>
      </c>
      <c r="F93">
        <v>0.65539112050739956</v>
      </c>
      <c r="G93">
        <v>0.65539112050739956</v>
      </c>
      <c r="H93" s="3">
        <f t="shared" si="1"/>
        <v>0</v>
      </c>
      <c r="I93">
        <v>6.1208431720733643</v>
      </c>
      <c r="J93">
        <v>104.3574867248535</v>
      </c>
      <c r="K93">
        <v>0.65539112050740367</v>
      </c>
      <c r="L93">
        <v>43.316273000000002</v>
      </c>
      <c r="M93">
        <v>417.89945399999999</v>
      </c>
      <c r="N93">
        <v>0.75</v>
      </c>
      <c r="O93" t="s">
        <v>170</v>
      </c>
      <c r="P93" t="s">
        <v>171</v>
      </c>
    </row>
    <row r="94" spans="1:16">
      <c r="A94" s="1">
        <v>92</v>
      </c>
      <c r="B94" t="s">
        <v>226</v>
      </c>
      <c r="C94" t="s">
        <v>15</v>
      </c>
      <c r="D94" t="s">
        <v>21</v>
      </c>
      <c r="E94">
        <v>0.55329304396580237</v>
      </c>
      <c r="F94">
        <v>0.55241367159971799</v>
      </c>
      <c r="G94">
        <v>0.55364693446088797</v>
      </c>
      <c r="H94" s="3">
        <f t="shared" si="1"/>
        <v>0.22275258552110785</v>
      </c>
      <c r="I94">
        <v>7.7188179492950439</v>
      </c>
      <c r="J94">
        <v>104.3574867248535</v>
      </c>
      <c r="K94">
        <v>0.55364693446087265</v>
      </c>
      <c r="L94">
        <v>48.222109000000003</v>
      </c>
      <c r="M94">
        <v>417.89945399999999</v>
      </c>
      <c r="N94">
        <v>0.86363636363636365</v>
      </c>
      <c r="O94" t="s">
        <v>172</v>
      </c>
      <c r="P94" t="s">
        <v>173</v>
      </c>
    </row>
    <row r="95" spans="1:16">
      <c r="A95" s="1">
        <v>93</v>
      </c>
      <c r="B95" t="s">
        <v>227</v>
      </c>
      <c r="C95" t="s">
        <v>15</v>
      </c>
      <c r="D95" t="s">
        <v>16</v>
      </c>
      <c r="E95">
        <v>0.55045140431950024</v>
      </c>
      <c r="F95">
        <v>0.55363019704941718</v>
      </c>
      <c r="G95">
        <v>0.55363019704941718</v>
      </c>
      <c r="H95" s="3">
        <f t="shared" si="1"/>
        <v>0</v>
      </c>
      <c r="I95">
        <v>8.7748689651489258</v>
      </c>
      <c r="J95">
        <v>103.4318528175354</v>
      </c>
      <c r="K95">
        <v>0.5536301970479548</v>
      </c>
      <c r="L95">
        <v>83.210137000000003</v>
      </c>
      <c r="M95">
        <v>424.16030999999998</v>
      </c>
      <c r="N95">
        <v>1</v>
      </c>
      <c r="O95" t="s">
        <v>174</v>
      </c>
      <c r="P95" t="s">
        <v>174</v>
      </c>
    </row>
    <row r="96" spans="1:16">
      <c r="A96" s="1">
        <v>94</v>
      </c>
      <c r="B96" t="s">
        <v>227</v>
      </c>
      <c r="C96" t="s">
        <v>15</v>
      </c>
      <c r="D96" t="s">
        <v>19</v>
      </c>
      <c r="E96">
        <v>0.6840780114160987</v>
      </c>
      <c r="F96">
        <v>0.64349894291754761</v>
      </c>
      <c r="G96">
        <v>0.64358703312191679</v>
      </c>
      <c r="H96" s="3">
        <f t="shared" si="1"/>
        <v>1.3687380235407283E-2</v>
      </c>
      <c r="I96">
        <v>8.2879629135131836</v>
      </c>
      <c r="J96">
        <v>103.4318528175354</v>
      </c>
      <c r="K96">
        <v>0.64358703312191701</v>
      </c>
      <c r="L96">
        <v>55.519449000000002</v>
      </c>
      <c r="M96">
        <v>424.16030999999998</v>
      </c>
      <c r="N96">
        <v>0.70370370370370372</v>
      </c>
      <c r="O96" t="s">
        <v>175</v>
      </c>
      <c r="P96" t="s">
        <v>176</v>
      </c>
    </row>
    <row r="97" spans="1:16">
      <c r="A97" s="1">
        <v>95</v>
      </c>
      <c r="B97" t="s">
        <v>227</v>
      </c>
      <c r="C97" t="s">
        <v>15</v>
      </c>
      <c r="D97" t="s">
        <v>21</v>
      </c>
      <c r="E97">
        <v>0.55677069119546063</v>
      </c>
      <c r="F97">
        <v>0.5312720225510924</v>
      </c>
      <c r="G97">
        <v>0.54827343199436218</v>
      </c>
      <c r="H97" s="3">
        <f t="shared" si="1"/>
        <v>3.1008997429305674</v>
      </c>
      <c r="I97">
        <v>13.17464709281921</v>
      </c>
      <c r="J97">
        <v>103.4318528175354</v>
      </c>
      <c r="K97">
        <v>0.54827343199434786</v>
      </c>
      <c r="L97">
        <v>62.294775999999999</v>
      </c>
      <c r="M97">
        <v>424.16030999999998</v>
      </c>
      <c r="N97">
        <v>0.81818181818181823</v>
      </c>
      <c r="O97" t="s">
        <v>177</v>
      </c>
      <c r="P97" t="s">
        <v>178</v>
      </c>
    </row>
    <row r="98" spans="1:16">
      <c r="A98" s="1">
        <v>96</v>
      </c>
      <c r="B98" t="s">
        <v>228</v>
      </c>
      <c r="C98" t="s">
        <v>15</v>
      </c>
      <c r="D98" t="s">
        <v>16</v>
      </c>
      <c r="E98">
        <v>0.53358749889806567</v>
      </c>
      <c r="F98">
        <v>0.5392448158464872</v>
      </c>
      <c r="G98">
        <v>0.53954142164448571</v>
      </c>
      <c r="H98" s="3">
        <f t="shared" si="1"/>
        <v>5.4973684336315005E-2</v>
      </c>
      <c r="I98">
        <v>27.093148946762081</v>
      </c>
      <c r="J98">
        <v>115.72535490989689</v>
      </c>
      <c r="K98">
        <v>0.53954142164316166</v>
      </c>
      <c r="L98">
        <v>105.58671200000001</v>
      </c>
      <c r="M98">
        <v>394.244236</v>
      </c>
      <c r="N98">
        <v>0.8</v>
      </c>
      <c r="O98" t="s">
        <v>179</v>
      </c>
      <c r="P98" t="s">
        <v>180</v>
      </c>
    </row>
    <row r="99" spans="1:16">
      <c r="A99" s="1">
        <v>97</v>
      </c>
      <c r="B99" t="s">
        <v>228</v>
      </c>
      <c r="C99" t="s">
        <v>15</v>
      </c>
      <c r="D99" t="s">
        <v>19</v>
      </c>
      <c r="E99">
        <v>0.41481882188103758</v>
      </c>
      <c r="F99">
        <v>0.40283650458069059</v>
      </c>
      <c r="G99">
        <v>0.41279069767441862</v>
      </c>
      <c r="H99" s="3">
        <f t="shared" si="1"/>
        <v>2.4114383269312962</v>
      </c>
      <c r="I99">
        <v>19.25019812583923</v>
      </c>
      <c r="J99">
        <v>115.72535490989689</v>
      </c>
      <c r="K99">
        <v>0.41279069767441878</v>
      </c>
      <c r="L99">
        <v>97.713830000000002</v>
      </c>
      <c r="M99">
        <v>394.244236</v>
      </c>
      <c r="N99">
        <v>0.8</v>
      </c>
      <c r="O99" t="s">
        <v>181</v>
      </c>
      <c r="P99" t="s">
        <v>182</v>
      </c>
    </row>
    <row r="100" spans="1:16">
      <c r="A100" s="1">
        <v>98</v>
      </c>
      <c r="B100" t="s">
        <v>228</v>
      </c>
      <c r="C100" t="s">
        <v>15</v>
      </c>
      <c r="D100" t="s">
        <v>21</v>
      </c>
      <c r="E100">
        <v>0.6200114565732403</v>
      </c>
      <c r="F100">
        <v>0.60940803382663844</v>
      </c>
      <c r="G100">
        <v>0.60940803382663844</v>
      </c>
      <c r="H100" s="3">
        <f t="shared" si="1"/>
        <v>0</v>
      </c>
      <c r="I100">
        <v>19.482355117797852</v>
      </c>
      <c r="J100">
        <v>115.72535490989689</v>
      </c>
      <c r="K100">
        <v>0.60940803382662978</v>
      </c>
      <c r="L100">
        <v>65.233610999999996</v>
      </c>
      <c r="M100">
        <v>394.244236</v>
      </c>
      <c r="N100">
        <v>0.67567567567567566</v>
      </c>
      <c r="O100" t="s">
        <v>183</v>
      </c>
      <c r="P100" t="s">
        <v>184</v>
      </c>
    </row>
    <row r="101" spans="1:16">
      <c r="A101" s="1">
        <v>99</v>
      </c>
      <c r="B101" t="s">
        <v>229</v>
      </c>
      <c r="C101" t="s">
        <v>15</v>
      </c>
      <c r="D101" t="s">
        <v>16</v>
      </c>
      <c r="E101">
        <v>0.50581596701312481</v>
      </c>
      <c r="F101">
        <v>0.51505983699577007</v>
      </c>
      <c r="G101">
        <v>0.51521716702775189</v>
      </c>
      <c r="H101" s="3">
        <f t="shared" si="1"/>
        <v>3.0536643972762397E-2</v>
      </c>
      <c r="I101">
        <v>26.451076030731201</v>
      </c>
      <c r="J101">
        <v>92.211967468261719</v>
      </c>
      <c r="K101">
        <v>0.5152171670266027</v>
      </c>
      <c r="L101">
        <v>113.87076999999999</v>
      </c>
      <c r="M101">
        <v>367.80238500000002</v>
      </c>
      <c r="N101">
        <v>0.8666666666666667</v>
      </c>
      <c r="O101" t="s">
        <v>185</v>
      </c>
      <c r="P101" t="s">
        <v>186</v>
      </c>
    </row>
    <row r="102" spans="1:16">
      <c r="A102" s="1">
        <v>100</v>
      </c>
      <c r="B102" t="s">
        <v>229</v>
      </c>
      <c r="C102" t="s">
        <v>15</v>
      </c>
      <c r="D102" t="s">
        <v>19</v>
      </c>
      <c r="E102">
        <v>0.60172491486576274</v>
      </c>
      <c r="F102">
        <v>0.5900281888653981</v>
      </c>
      <c r="G102">
        <v>0.5900281888653981</v>
      </c>
      <c r="H102" s="3">
        <f t="shared" si="1"/>
        <v>0</v>
      </c>
      <c r="I102">
        <v>25.589439868926998</v>
      </c>
      <c r="J102">
        <v>92.211967468261719</v>
      </c>
      <c r="K102">
        <v>0.59002818886539055</v>
      </c>
      <c r="L102">
        <v>53.746122</v>
      </c>
      <c r="M102">
        <v>367.80238500000002</v>
      </c>
      <c r="N102">
        <v>0.82499999999999996</v>
      </c>
      <c r="O102" t="s">
        <v>187</v>
      </c>
      <c r="P102" t="s">
        <v>188</v>
      </c>
    </row>
    <row r="103" spans="1:16">
      <c r="A103" s="1">
        <v>101</v>
      </c>
      <c r="B103" t="s">
        <v>229</v>
      </c>
      <c r="C103" t="s">
        <v>15</v>
      </c>
      <c r="D103" t="s">
        <v>21</v>
      </c>
      <c r="E103">
        <v>0.60875245157719093</v>
      </c>
      <c r="F103">
        <v>0.60835095137420714</v>
      </c>
      <c r="G103">
        <v>0.60835095137420714</v>
      </c>
      <c r="H103" s="3">
        <f t="shared" si="1"/>
        <v>0</v>
      </c>
      <c r="I103">
        <v>43.448388814926147</v>
      </c>
      <c r="J103">
        <v>92.211967468261719</v>
      </c>
      <c r="K103">
        <v>0.60835095137419837</v>
      </c>
      <c r="L103">
        <v>57.845025999999997</v>
      </c>
      <c r="M103">
        <v>367.80238500000002</v>
      </c>
      <c r="N103">
        <v>0.73809523809523814</v>
      </c>
      <c r="O103" t="s">
        <v>189</v>
      </c>
      <c r="P103" t="s">
        <v>190</v>
      </c>
    </row>
    <row r="104" spans="1:16">
      <c r="A104" s="1">
        <v>102</v>
      </c>
      <c r="B104" t="s">
        <v>230</v>
      </c>
      <c r="C104" t="s">
        <v>15</v>
      </c>
      <c r="D104" t="s">
        <v>16</v>
      </c>
      <c r="E104">
        <v>0.49749722806423319</v>
      </c>
      <c r="F104">
        <v>0.50263850201176108</v>
      </c>
      <c r="G104">
        <v>0.50263850201176108</v>
      </c>
      <c r="H104" s="3">
        <f t="shared" si="1"/>
        <v>0</v>
      </c>
      <c r="I104">
        <v>39.897307157516479</v>
      </c>
      <c r="J104">
        <v>91.600391387939453</v>
      </c>
      <c r="K104">
        <v>0.50263850201082116</v>
      </c>
      <c r="L104">
        <v>88.010683</v>
      </c>
      <c r="M104">
        <v>377.47987499999999</v>
      </c>
      <c r="N104">
        <v>1</v>
      </c>
      <c r="O104" t="s">
        <v>191</v>
      </c>
      <c r="P104" t="s">
        <v>191</v>
      </c>
    </row>
    <row r="105" spans="1:16">
      <c r="A105" s="1">
        <v>103</v>
      </c>
      <c r="B105" t="s">
        <v>230</v>
      </c>
      <c r="C105" t="s">
        <v>15</v>
      </c>
      <c r="D105" t="s">
        <v>19</v>
      </c>
      <c r="E105">
        <v>0.60013715995067041</v>
      </c>
      <c r="F105">
        <v>0.62508809020436917</v>
      </c>
      <c r="G105">
        <v>0.62526427061310785</v>
      </c>
      <c r="H105" s="3">
        <f t="shared" si="1"/>
        <v>2.8176951253895365E-2</v>
      </c>
      <c r="I105">
        <v>23.23439788818359</v>
      </c>
      <c r="J105">
        <v>91.600391387939453</v>
      </c>
      <c r="K105">
        <v>0.62526427061310752</v>
      </c>
      <c r="L105">
        <v>54.466127999999998</v>
      </c>
      <c r="M105">
        <v>377.47987499999999</v>
      </c>
      <c r="N105">
        <v>0.87804878048780488</v>
      </c>
      <c r="O105" t="s">
        <v>192</v>
      </c>
      <c r="P105" t="s">
        <v>193</v>
      </c>
    </row>
    <row r="106" spans="1:16">
      <c r="A106" s="1">
        <v>104</v>
      </c>
      <c r="B106" t="s">
        <v>230</v>
      </c>
      <c r="C106" t="s">
        <v>15</v>
      </c>
      <c r="D106" t="s">
        <v>21</v>
      </c>
      <c r="E106">
        <v>0.5102723158587279</v>
      </c>
      <c r="F106">
        <v>0.50176180408738547</v>
      </c>
      <c r="G106">
        <v>0.50176180408738547</v>
      </c>
      <c r="H106" s="3">
        <f t="shared" si="1"/>
        <v>0</v>
      </c>
      <c r="I106">
        <v>32.629940986633301</v>
      </c>
      <c r="J106">
        <v>91.600391387939453</v>
      </c>
      <c r="K106">
        <v>0.50176180408737137</v>
      </c>
      <c r="L106">
        <v>55.079278000000002</v>
      </c>
      <c r="M106">
        <v>377.47987499999999</v>
      </c>
      <c r="N106">
        <v>0.97297297297297303</v>
      </c>
      <c r="O106" t="s">
        <v>194</v>
      </c>
      <c r="P106" t="s">
        <v>195</v>
      </c>
    </row>
    <row r="107" spans="1:16">
      <c r="A107" s="2"/>
      <c r="G107" t="s">
        <v>231</v>
      </c>
      <c r="H107" s="1" t="s">
        <v>6</v>
      </c>
      <c r="I107" s="1" t="s">
        <v>7</v>
      </c>
      <c r="J107" s="1" t="s">
        <v>8</v>
      </c>
      <c r="K107" s="1" t="s">
        <v>9</v>
      </c>
      <c r="L107" s="1" t="s">
        <v>10</v>
      </c>
      <c r="M107" s="1" t="s">
        <v>11</v>
      </c>
      <c r="N107" s="1" t="s">
        <v>12</v>
      </c>
    </row>
    <row r="108" spans="1:16">
      <c r="G108" t="s">
        <v>232</v>
      </c>
      <c r="H108" s="4">
        <f>AVERAGE(H2:H106)</f>
        <v>0.21636822857062046</v>
      </c>
      <c r="I108" s="4">
        <f t="shared" ref="I108:M108" si="2">AVERAGE(I2:I106)</f>
        <v>18.092003856386459</v>
      </c>
      <c r="J108" s="4">
        <f t="shared" si="2"/>
        <v>110.27883654321943</v>
      </c>
      <c r="K108" s="4">
        <f t="shared" si="2"/>
        <v>0.5452752132100287</v>
      </c>
      <c r="L108" s="4">
        <f t="shared" si="2"/>
        <v>71.36341738095237</v>
      </c>
      <c r="M108" s="4">
        <f t="shared" si="2"/>
        <v>447.44217468571395</v>
      </c>
      <c r="N108" s="4">
        <f>AVERAGE(N2:N106)</f>
        <v>0.8498004357722676</v>
      </c>
    </row>
    <row r="109" spans="1:16">
      <c r="G109" t="s">
        <v>233</v>
      </c>
      <c r="H109" s="4">
        <f>STDEV(H2:H106)</f>
        <v>0.67577948310868718</v>
      </c>
      <c r="I109" s="4">
        <f t="shared" ref="I109:M109" si="3">STDEV(I2:I106)</f>
        <v>12.831834308157154</v>
      </c>
      <c r="J109" s="4">
        <f t="shared" si="3"/>
        <v>24.84956285281763</v>
      </c>
      <c r="K109" s="4">
        <f t="shared" si="3"/>
        <v>7.0414615591797541E-2</v>
      </c>
      <c r="L109" s="4">
        <f t="shared" si="3"/>
        <v>30.556229215038815</v>
      </c>
      <c r="M109" s="4">
        <f t="shared" si="3"/>
        <v>70.527151457260445</v>
      </c>
      <c r="N109" s="4">
        <f>STDEV(N2:N106)</f>
        <v>0.1029167531140066</v>
      </c>
    </row>
    <row r="110" spans="1:16">
      <c r="G110" t="s">
        <v>234</v>
      </c>
      <c r="H110" s="4">
        <f>MAX(H2:H106)</f>
        <v>3.4865834900016845</v>
      </c>
      <c r="I110" s="4">
        <f t="shared" ref="I110:M110" si="4">MAX(I2:I106)</f>
        <v>79.558164119720459</v>
      </c>
      <c r="J110" s="4">
        <f t="shared" si="4"/>
        <v>201.65899395942691</v>
      </c>
      <c r="K110" s="4">
        <f t="shared" si="4"/>
        <v>0.65785764622974396</v>
      </c>
      <c r="L110" s="4">
        <f t="shared" si="4"/>
        <v>214.90769299999999</v>
      </c>
      <c r="M110" s="4">
        <f t="shared" si="4"/>
        <v>577.26442799999995</v>
      </c>
      <c r="N110" s="4">
        <f>MAX(N2:N106)</f>
        <v>1</v>
      </c>
    </row>
    <row r="111" spans="1:16">
      <c r="G111" t="s">
        <v>235</v>
      </c>
      <c r="H111" s="4">
        <f>MIN(H2:H106)</f>
        <v>-2.6251126315209494E-2</v>
      </c>
      <c r="I111" s="4">
        <f t="shared" ref="I111:M111" si="5">MIN(I2:I106)</f>
        <v>4.7286860942840576</v>
      </c>
      <c r="J111" s="4">
        <f t="shared" si="5"/>
        <v>83.709509134292603</v>
      </c>
      <c r="K111" s="4">
        <f t="shared" si="5"/>
        <v>0.33091966173362081</v>
      </c>
      <c r="L111" s="4">
        <f t="shared" si="5"/>
        <v>31.227765000000002</v>
      </c>
      <c r="M111" s="4">
        <f t="shared" si="5"/>
        <v>365.94486599999999</v>
      </c>
      <c r="N111" s="4">
        <f>MIN(N2:N106)</f>
        <v>0.625</v>
      </c>
    </row>
  </sheetData>
  <autoFilter ref="A1:T111" xr:uid="{00000000-0001-0000-00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971A1-1271-DD44-BAAC-1CC10C2F8BF8}">
  <dimension ref="A1:P41"/>
  <sheetViews>
    <sheetView topLeftCell="A11" workbookViewId="0">
      <selection activeCell="G37" sqref="G37:N41"/>
    </sheetView>
  </sheetViews>
  <sheetFormatPr defaultColWidth="11.42578125"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196</v>
      </c>
      <c r="C2" t="s">
        <v>15</v>
      </c>
      <c r="D2" t="s">
        <v>16</v>
      </c>
      <c r="E2">
        <v>0.51957456371838961</v>
      </c>
      <c r="F2">
        <v>0.52666873001134851</v>
      </c>
      <c r="G2">
        <v>0.52682863922418244</v>
      </c>
      <c r="H2" s="3">
        <v>3.0353173864924282E-2</v>
      </c>
      <c r="I2">
        <v>24.650075912475589</v>
      </c>
      <c r="J2">
        <v>118.57351493835451</v>
      </c>
      <c r="K2">
        <v>0.52682863922286693</v>
      </c>
      <c r="L2">
        <v>73.712311</v>
      </c>
      <c r="M2">
        <v>407.302909</v>
      </c>
      <c r="N2">
        <v>0.92</v>
      </c>
      <c r="O2" t="s">
        <v>17</v>
      </c>
      <c r="P2" t="s">
        <v>18</v>
      </c>
    </row>
    <row r="3" spans="1:16">
      <c r="A3" s="1">
        <v>3</v>
      </c>
      <c r="B3" t="s">
        <v>197</v>
      </c>
      <c r="C3" t="s">
        <v>15</v>
      </c>
      <c r="D3" t="s">
        <v>16</v>
      </c>
      <c r="E3">
        <v>0.53388234418112068</v>
      </c>
      <c r="F3">
        <v>0.53958268853812019</v>
      </c>
      <c r="G3">
        <v>0.53977354792118015</v>
      </c>
      <c r="H3" s="3">
        <v>3.5359158260906541E-2</v>
      </c>
      <c r="I3">
        <v>12.61849212646484</v>
      </c>
      <c r="J3">
        <v>102.03928780555729</v>
      </c>
      <c r="K3">
        <v>0.53977354791984555</v>
      </c>
      <c r="L3">
        <v>122.969386</v>
      </c>
      <c r="M3">
        <v>396.25804799999997</v>
      </c>
      <c r="N3">
        <v>0.91304347826086951</v>
      </c>
      <c r="O3" t="s">
        <v>23</v>
      </c>
      <c r="P3" t="s">
        <v>24</v>
      </c>
    </row>
    <row r="4" spans="1:16">
      <c r="A4" s="1">
        <v>6</v>
      </c>
      <c r="B4" t="s">
        <v>198</v>
      </c>
      <c r="C4" t="s">
        <v>15</v>
      </c>
      <c r="D4" t="s">
        <v>16</v>
      </c>
      <c r="E4">
        <v>0.51823660822082662</v>
      </c>
      <c r="F4">
        <v>0.52451511399979378</v>
      </c>
      <c r="G4">
        <v>0.52451511399979378</v>
      </c>
      <c r="H4" s="3">
        <v>0</v>
      </c>
      <c r="I4">
        <v>14.10355114936829</v>
      </c>
      <c r="J4">
        <v>91.404918909072876</v>
      </c>
      <c r="K4">
        <v>0.52451511399851858</v>
      </c>
      <c r="L4">
        <v>112.852025</v>
      </c>
      <c r="M4">
        <v>399.49296800000002</v>
      </c>
      <c r="N4">
        <v>1</v>
      </c>
      <c r="O4" t="s">
        <v>29</v>
      </c>
      <c r="P4" t="s">
        <v>29</v>
      </c>
    </row>
    <row r="5" spans="1:16">
      <c r="A5" s="1">
        <v>9</v>
      </c>
      <c r="B5" t="s">
        <v>199</v>
      </c>
      <c r="C5" t="s">
        <v>15</v>
      </c>
      <c r="D5" t="s">
        <v>16</v>
      </c>
      <c r="E5">
        <v>0.52094874735518748</v>
      </c>
      <c r="F5">
        <v>0.52891132776230265</v>
      </c>
      <c r="G5">
        <v>0.52891132776230265</v>
      </c>
      <c r="H5" s="3">
        <v>0</v>
      </c>
      <c r="I5">
        <v>10.47515296936035</v>
      </c>
      <c r="J5">
        <v>104.2140181064606</v>
      </c>
      <c r="K5">
        <v>0.52891132776098859</v>
      </c>
      <c r="L5">
        <v>60.626511000000001</v>
      </c>
      <c r="M5">
        <v>394.894248</v>
      </c>
      <c r="N5">
        <v>1</v>
      </c>
      <c r="O5" t="s">
        <v>34</v>
      </c>
      <c r="P5" t="s">
        <v>34</v>
      </c>
    </row>
    <row r="6" spans="1:16">
      <c r="A6" s="1">
        <v>12</v>
      </c>
      <c r="B6" t="s">
        <v>200</v>
      </c>
      <c r="C6" t="s">
        <v>15</v>
      </c>
      <c r="D6" t="s">
        <v>16</v>
      </c>
      <c r="E6">
        <v>0.55732245301440042</v>
      </c>
      <c r="F6">
        <v>0.56266119880326004</v>
      </c>
      <c r="G6">
        <v>0.56270633446817298</v>
      </c>
      <c r="H6" s="3">
        <v>8.0211759044068257E-3</v>
      </c>
      <c r="I6">
        <v>5.3289868831634521</v>
      </c>
      <c r="J6">
        <v>95.045179843902588</v>
      </c>
      <c r="K6">
        <v>0.56270633446670926</v>
      </c>
      <c r="L6">
        <v>66.899614999999997</v>
      </c>
      <c r="M6">
        <v>378.302436</v>
      </c>
      <c r="N6">
        <v>0.8666666666666667</v>
      </c>
      <c r="O6" t="s">
        <v>36</v>
      </c>
      <c r="P6" t="s">
        <v>37</v>
      </c>
    </row>
    <row r="7" spans="1:16">
      <c r="A7" s="1">
        <v>15</v>
      </c>
      <c r="B7" t="s">
        <v>201</v>
      </c>
      <c r="C7" t="s">
        <v>15</v>
      </c>
      <c r="D7" t="s">
        <v>16</v>
      </c>
      <c r="E7">
        <v>0.52397745700901599</v>
      </c>
      <c r="F7">
        <v>0.53021252450221812</v>
      </c>
      <c r="G7">
        <v>0.5302666873001135</v>
      </c>
      <c r="H7" s="3">
        <v>1.0214256183272319E-2</v>
      </c>
      <c r="I7">
        <v>17.254838943481449</v>
      </c>
      <c r="J7">
        <v>88.102715015411377</v>
      </c>
      <c r="K7">
        <v>0.53026668729878546</v>
      </c>
      <c r="L7">
        <v>73.725215000000006</v>
      </c>
      <c r="M7">
        <v>395.87896499999999</v>
      </c>
      <c r="N7">
        <v>0.84</v>
      </c>
      <c r="O7" t="s">
        <v>41</v>
      </c>
      <c r="P7" t="s">
        <v>42</v>
      </c>
    </row>
    <row r="8" spans="1:16">
      <c r="A8" s="1">
        <v>18</v>
      </c>
      <c r="B8" t="s">
        <v>202</v>
      </c>
      <c r="C8" t="s">
        <v>15</v>
      </c>
      <c r="D8" t="s">
        <v>16</v>
      </c>
      <c r="E8">
        <v>0.55487235022533787</v>
      </c>
      <c r="F8">
        <v>0.55789487258846582</v>
      </c>
      <c r="G8">
        <v>0.55789487258846582</v>
      </c>
      <c r="H8" s="3">
        <v>0</v>
      </c>
      <c r="I8">
        <v>5.826056957244873</v>
      </c>
      <c r="J8">
        <v>111.61703014373779</v>
      </c>
      <c r="K8">
        <v>0.55789487258707515</v>
      </c>
      <c r="L8">
        <v>70.727956000000006</v>
      </c>
      <c r="M8">
        <v>365.94486599999999</v>
      </c>
      <c r="N8">
        <v>1</v>
      </c>
      <c r="O8" t="s">
        <v>47</v>
      </c>
      <c r="P8" t="s">
        <v>47</v>
      </c>
    </row>
    <row r="9" spans="1:16">
      <c r="A9" s="1">
        <v>21</v>
      </c>
      <c r="B9" t="s">
        <v>203</v>
      </c>
      <c r="C9" t="s">
        <v>15</v>
      </c>
      <c r="D9" t="s">
        <v>16</v>
      </c>
      <c r="E9">
        <v>0.52046811555382644</v>
      </c>
      <c r="F9">
        <v>0.52529015784586819</v>
      </c>
      <c r="G9">
        <v>0.52777726194160735</v>
      </c>
      <c r="H9" s="3">
        <v>0.4712412366136241</v>
      </c>
      <c r="I9">
        <v>11.44120287895203</v>
      </c>
      <c r="J9">
        <v>88.24916934967041</v>
      </c>
      <c r="K9">
        <v>0.52777726194029251</v>
      </c>
      <c r="L9">
        <v>66.123073000000005</v>
      </c>
      <c r="M9">
        <v>373.86964999999998</v>
      </c>
      <c r="N9">
        <v>0.84615384615384615</v>
      </c>
      <c r="O9" t="s">
        <v>52</v>
      </c>
      <c r="P9" t="s">
        <v>53</v>
      </c>
    </row>
    <row r="10" spans="1:16">
      <c r="A10" s="1">
        <v>24</v>
      </c>
      <c r="B10" t="s">
        <v>204</v>
      </c>
      <c r="C10" t="s">
        <v>15</v>
      </c>
      <c r="D10" t="s">
        <v>16</v>
      </c>
      <c r="E10">
        <v>0.54066215286424235</v>
      </c>
      <c r="F10">
        <v>0.547633601568142</v>
      </c>
      <c r="G10">
        <v>0.547633601568142</v>
      </c>
      <c r="H10" s="3">
        <v>0</v>
      </c>
      <c r="I10">
        <v>10.520982027053829</v>
      </c>
      <c r="J10">
        <v>83.709509134292603</v>
      </c>
      <c r="K10">
        <v>0.54763360156670426</v>
      </c>
      <c r="L10">
        <v>78.089388999999997</v>
      </c>
      <c r="M10">
        <v>377.51222799999999</v>
      </c>
      <c r="N10">
        <v>1</v>
      </c>
      <c r="O10" t="s">
        <v>58</v>
      </c>
      <c r="P10" t="s">
        <v>58</v>
      </c>
    </row>
    <row r="11" spans="1:16">
      <c r="A11" s="1">
        <v>27</v>
      </c>
      <c r="B11" t="s">
        <v>205</v>
      </c>
      <c r="C11" t="s">
        <v>15</v>
      </c>
      <c r="D11" t="s">
        <v>16</v>
      </c>
      <c r="E11">
        <v>0.54791334736191288</v>
      </c>
      <c r="F11">
        <v>0.5527893840916126</v>
      </c>
      <c r="G11">
        <v>0.55279970081502117</v>
      </c>
      <c r="H11" s="3">
        <v>1.8662679074093217E-3</v>
      </c>
      <c r="I11">
        <v>4.7286860942840576</v>
      </c>
      <c r="J11">
        <v>93.919439792633057</v>
      </c>
      <c r="K11">
        <v>0.55279970081359475</v>
      </c>
      <c r="L11">
        <v>67.367384999999999</v>
      </c>
      <c r="M11">
        <v>369.40720199999998</v>
      </c>
      <c r="N11">
        <v>0.78947368421052633</v>
      </c>
      <c r="O11" t="s">
        <v>63</v>
      </c>
      <c r="P11" t="s">
        <v>64</v>
      </c>
    </row>
    <row r="12" spans="1:16">
      <c r="A12" s="1">
        <v>30</v>
      </c>
      <c r="B12" t="s">
        <v>206</v>
      </c>
      <c r="C12" t="s">
        <v>15</v>
      </c>
      <c r="D12" t="s">
        <v>16</v>
      </c>
      <c r="E12">
        <v>0.54408887683041662</v>
      </c>
      <c r="F12">
        <v>0.54682244919013734</v>
      </c>
      <c r="G12">
        <v>0.54689466625399774</v>
      </c>
      <c r="H12" s="3">
        <v>1.3204931098534845E-2</v>
      </c>
      <c r="I12">
        <v>7.3831648826599121</v>
      </c>
      <c r="J12">
        <v>109.1506240367889</v>
      </c>
      <c r="K12">
        <v>0.54689466625266203</v>
      </c>
      <c r="L12">
        <v>87.005024000000006</v>
      </c>
      <c r="M12">
        <v>414.60107499999998</v>
      </c>
      <c r="N12">
        <v>0.9</v>
      </c>
      <c r="O12" t="s">
        <v>69</v>
      </c>
      <c r="P12" t="s">
        <v>70</v>
      </c>
    </row>
    <row r="13" spans="1:16">
      <c r="A13" s="1">
        <v>33</v>
      </c>
      <c r="B13" t="s">
        <v>207</v>
      </c>
      <c r="C13" t="s">
        <v>15</v>
      </c>
      <c r="D13" t="s">
        <v>16</v>
      </c>
      <c r="E13">
        <v>0.53051300484367525</v>
      </c>
      <c r="F13">
        <v>0.53327788094501183</v>
      </c>
      <c r="G13">
        <v>0.53360414732281025</v>
      </c>
      <c r="H13" s="3">
        <v>6.1143898418961194E-2</v>
      </c>
      <c r="I13">
        <v>9.6878669261932373</v>
      </c>
      <c r="J13">
        <v>92.079463243484497</v>
      </c>
      <c r="K13">
        <v>0.53360414732152472</v>
      </c>
      <c r="L13">
        <v>105.189322</v>
      </c>
      <c r="M13">
        <v>439.11139300000002</v>
      </c>
      <c r="N13">
        <v>0.92307692307692313</v>
      </c>
      <c r="O13" t="s">
        <v>74</v>
      </c>
      <c r="P13" t="s">
        <v>75</v>
      </c>
    </row>
    <row r="14" spans="1:16">
      <c r="A14" s="1">
        <v>36</v>
      </c>
      <c r="B14" t="s">
        <v>208</v>
      </c>
      <c r="C14" t="s">
        <v>15</v>
      </c>
      <c r="D14" t="s">
        <v>16</v>
      </c>
      <c r="E14">
        <v>0.53136398658594919</v>
      </c>
      <c r="F14">
        <v>0.53692097389868965</v>
      </c>
      <c r="G14">
        <v>0.53692097389868965</v>
      </c>
      <c r="H14" s="3">
        <v>0</v>
      </c>
      <c r="I14">
        <v>9.4678938388824463</v>
      </c>
      <c r="J14">
        <v>103.36076903343201</v>
      </c>
      <c r="K14">
        <v>0.53692097389739613</v>
      </c>
      <c r="L14">
        <v>112.442768</v>
      </c>
      <c r="M14">
        <v>571.013824</v>
      </c>
      <c r="N14">
        <v>1</v>
      </c>
      <c r="O14" t="s">
        <v>80</v>
      </c>
      <c r="P14" t="s">
        <v>80</v>
      </c>
    </row>
    <row r="15" spans="1:16">
      <c r="A15" s="1">
        <v>39</v>
      </c>
      <c r="B15" t="s">
        <v>209</v>
      </c>
      <c r="C15" t="s">
        <v>15</v>
      </c>
      <c r="D15" t="s">
        <v>16</v>
      </c>
      <c r="E15">
        <v>0.52624734084178382</v>
      </c>
      <c r="F15">
        <v>0.53035566903951303</v>
      </c>
      <c r="G15">
        <v>0.53035566903951303</v>
      </c>
      <c r="H15" s="3">
        <v>0</v>
      </c>
      <c r="I15">
        <v>11.649163961410521</v>
      </c>
      <c r="J15">
        <v>108.88965702056881</v>
      </c>
      <c r="K15">
        <v>0.53035566903824949</v>
      </c>
      <c r="L15">
        <v>117.76284800000001</v>
      </c>
      <c r="M15">
        <v>548.25267099999996</v>
      </c>
      <c r="N15">
        <v>1</v>
      </c>
      <c r="O15" t="s">
        <v>85</v>
      </c>
      <c r="P15" t="s">
        <v>85</v>
      </c>
    </row>
    <row r="16" spans="1:16">
      <c r="A16" s="1">
        <v>42</v>
      </c>
      <c r="B16" t="s">
        <v>210</v>
      </c>
      <c r="C16" t="s">
        <v>15</v>
      </c>
      <c r="D16" t="s">
        <v>16</v>
      </c>
      <c r="E16">
        <v>0.55128241740320105</v>
      </c>
      <c r="F16">
        <v>0.55814763231197784</v>
      </c>
      <c r="G16">
        <v>0.55814763231197784</v>
      </c>
      <c r="H16" s="3">
        <v>0</v>
      </c>
      <c r="I16">
        <v>5.43703293800354</v>
      </c>
      <c r="J16">
        <v>108.8407571315765</v>
      </c>
      <c r="K16">
        <v>0.55814763231052544</v>
      </c>
      <c r="L16">
        <v>105.539867</v>
      </c>
      <c r="M16">
        <v>459.45757400000002</v>
      </c>
      <c r="N16">
        <v>1</v>
      </c>
      <c r="O16" t="s">
        <v>89</v>
      </c>
      <c r="P16" t="s">
        <v>89</v>
      </c>
    </row>
    <row r="17" spans="1:16">
      <c r="A17" s="1">
        <v>45</v>
      </c>
      <c r="B17" t="s">
        <v>211</v>
      </c>
      <c r="C17" t="s">
        <v>15</v>
      </c>
      <c r="D17" t="s">
        <v>16</v>
      </c>
      <c r="E17">
        <v>0.53674163005395692</v>
      </c>
      <c r="F17">
        <v>0.54170019601774466</v>
      </c>
      <c r="G17">
        <v>0.54236949344888075</v>
      </c>
      <c r="H17" s="3">
        <v>0.12340248469361355</v>
      </c>
      <c r="I17">
        <v>14.029030084609991</v>
      </c>
      <c r="J17">
        <v>150.93432974815369</v>
      </c>
      <c r="K17">
        <v>0.5423694934475598</v>
      </c>
      <c r="L17">
        <v>116.071268</v>
      </c>
      <c r="M17">
        <v>517.11269100000004</v>
      </c>
      <c r="N17">
        <v>0.81818181818181823</v>
      </c>
      <c r="O17" t="s">
        <v>93</v>
      </c>
      <c r="P17" t="s">
        <v>94</v>
      </c>
    </row>
    <row r="18" spans="1:16">
      <c r="A18" s="1">
        <v>48</v>
      </c>
      <c r="B18" t="s">
        <v>212</v>
      </c>
      <c r="C18" t="s">
        <v>15</v>
      </c>
      <c r="D18" t="s">
        <v>16</v>
      </c>
      <c r="E18">
        <v>0.52686726272537954</v>
      </c>
      <c r="F18">
        <v>0.53114747756112657</v>
      </c>
      <c r="G18">
        <v>0.53181806458268854</v>
      </c>
      <c r="H18" s="3">
        <v>0.12609331390203463</v>
      </c>
      <c r="I18">
        <v>19.1473548412323</v>
      </c>
      <c r="J18">
        <v>112.42712736129759</v>
      </c>
      <c r="K18">
        <v>0.53181806458139602</v>
      </c>
      <c r="L18">
        <v>97.272655</v>
      </c>
      <c r="M18">
        <v>452.08693799999998</v>
      </c>
      <c r="N18">
        <v>0.88461538461538458</v>
      </c>
      <c r="O18" t="s">
        <v>98</v>
      </c>
      <c r="P18" t="s">
        <v>99</v>
      </c>
    </row>
    <row r="19" spans="1:16">
      <c r="A19" s="1">
        <v>51</v>
      </c>
      <c r="B19" t="s">
        <v>213</v>
      </c>
      <c r="C19" t="s">
        <v>15</v>
      </c>
      <c r="D19" t="s">
        <v>16</v>
      </c>
      <c r="E19">
        <v>0.53987527361428767</v>
      </c>
      <c r="F19">
        <v>0.54291627978953871</v>
      </c>
      <c r="G19">
        <v>0.54291627978953871</v>
      </c>
      <c r="H19" s="3">
        <v>0</v>
      </c>
      <c r="I19">
        <v>19.480665922164921</v>
      </c>
      <c r="J19">
        <v>109.6335117816925</v>
      </c>
      <c r="K19">
        <v>0.54291627978816448</v>
      </c>
      <c r="L19">
        <v>106.627697</v>
      </c>
      <c r="M19">
        <v>550.76449100000002</v>
      </c>
      <c r="N19">
        <v>1</v>
      </c>
      <c r="O19" t="s">
        <v>104</v>
      </c>
      <c r="P19" t="s">
        <v>104</v>
      </c>
    </row>
    <row r="20" spans="1:16">
      <c r="A20" s="1">
        <v>54</v>
      </c>
      <c r="B20" t="s">
        <v>214</v>
      </c>
      <c r="C20" t="s">
        <v>15</v>
      </c>
      <c r="D20" t="s">
        <v>16</v>
      </c>
      <c r="E20">
        <v>0.51425634075542881</v>
      </c>
      <c r="F20">
        <v>0.52316491282368716</v>
      </c>
      <c r="G20">
        <v>0.52316491282368716</v>
      </c>
      <c r="H20" s="3">
        <v>0</v>
      </c>
      <c r="I20">
        <v>26.084909915924069</v>
      </c>
      <c r="J20">
        <v>201.65899395942691</v>
      </c>
      <c r="K20">
        <v>0.52316491282241973</v>
      </c>
      <c r="L20">
        <v>87.185982999999993</v>
      </c>
      <c r="M20">
        <v>539.99480200000005</v>
      </c>
      <c r="N20">
        <v>1</v>
      </c>
      <c r="O20" t="s">
        <v>108</v>
      </c>
      <c r="P20" t="s">
        <v>108</v>
      </c>
    </row>
    <row r="21" spans="1:16">
      <c r="A21" s="1">
        <v>57</v>
      </c>
      <c r="B21" t="s">
        <v>215</v>
      </c>
      <c r="C21" t="s">
        <v>15</v>
      </c>
      <c r="D21" t="s">
        <v>16</v>
      </c>
      <c r="E21">
        <v>0.54369351612587613</v>
      </c>
      <c r="F21">
        <v>0.54702491488703175</v>
      </c>
      <c r="G21">
        <v>0.54702491488703175</v>
      </c>
      <c r="H21" s="3">
        <v>0</v>
      </c>
      <c r="I21">
        <v>7.9996109008789063</v>
      </c>
      <c r="J21">
        <v>117.70892238616941</v>
      </c>
      <c r="K21">
        <v>0.54702491488566096</v>
      </c>
      <c r="L21">
        <v>136.79031000000001</v>
      </c>
      <c r="M21">
        <v>577.26442799999995</v>
      </c>
      <c r="N21">
        <v>1</v>
      </c>
      <c r="O21" t="s">
        <v>113</v>
      </c>
      <c r="P21" t="s">
        <v>113</v>
      </c>
    </row>
    <row r="22" spans="1:16">
      <c r="A22" s="1">
        <v>60</v>
      </c>
      <c r="B22" t="s">
        <v>216</v>
      </c>
      <c r="C22" t="s">
        <v>15</v>
      </c>
      <c r="D22" t="s">
        <v>16</v>
      </c>
      <c r="E22">
        <v>0.5032243271200173</v>
      </c>
      <c r="F22">
        <v>0.50630222841225625</v>
      </c>
      <c r="G22">
        <v>0.50635897039100386</v>
      </c>
      <c r="H22" s="3">
        <v>1.1205880030878954E-2</v>
      </c>
      <c r="I22">
        <v>25.943138837814331</v>
      </c>
      <c r="J22">
        <v>154.35059809684751</v>
      </c>
      <c r="K22">
        <v>0.50635897038999023</v>
      </c>
      <c r="L22">
        <v>99.329177999999999</v>
      </c>
      <c r="M22">
        <v>467.62151</v>
      </c>
      <c r="N22">
        <v>0.88235294117647056</v>
      </c>
      <c r="O22" t="s">
        <v>118</v>
      </c>
      <c r="P22" t="s">
        <v>119</v>
      </c>
    </row>
    <row r="23" spans="1:16">
      <c r="A23" s="1">
        <v>63</v>
      </c>
      <c r="B23" t="s">
        <v>217</v>
      </c>
      <c r="C23" t="s">
        <v>15</v>
      </c>
      <c r="D23" t="s">
        <v>16</v>
      </c>
      <c r="E23">
        <v>0.49476551949765268</v>
      </c>
      <c r="F23">
        <v>0.49897864438254408</v>
      </c>
      <c r="G23">
        <v>0.49897864438254408</v>
      </c>
      <c r="H23" s="3">
        <v>0</v>
      </c>
      <c r="I23">
        <v>56.588647127151489</v>
      </c>
      <c r="J23">
        <v>101.223935842514</v>
      </c>
      <c r="K23">
        <v>0.49897864438171757</v>
      </c>
      <c r="L23">
        <v>87.630707999999998</v>
      </c>
      <c r="M23">
        <v>472.44138700000002</v>
      </c>
      <c r="N23">
        <v>1</v>
      </c>
      <c r="O23" t="s">
        <v>124</v>
      </c>
      <c r="P23" t="s">
        <v>124</v>
      </c>
    </row>
    <row r="24" spans="1:16">
      <c r="A24" s="1">
        <v>66</v>
      </c>
      <c r="B24" t="s">
        <v>218</v>
      </c>
      <c r="C24" t="s">
        <v>15</v>
      </c>
      <c r="D24" t="s">
        <v>16</v>
      </c>
      <c r="E24">
        <v>0.5570045786829263</v>
      </c>
      <c r="F24">
        <v>0.55791421644485717</v>
      </c>
      <c r="G24">
        <v>0.55791421644485717</v>
      </c>
      <c r="H24" s="3">
        <v>0</v>
      </c>
      <c r="I24">
        <v>10.20867395401001</v>
      </c>
      <c r="J24">
        <v>125.21343946456911</v>
      </c>
      <c r="K24">
        <v>0.55791421644336503</v>
      </c>
      <c r="L24">
        <v>99.065651000000003</v>
      </c>
      <c r="M24">
        <v>530.23883599999999</v>
      </c>
      <c r="N24">
        <v>1</v>
      </c>
      <c r="O24" t="s">
        <v>128</v>
      </c>
      <c r="P24" t="s">
        <v>128</v>
      </c>
    </row>
    <row r="25" spans="1:16">
      <c r="A25" s="1">
        <v>69</v>
      </c>
      <c r="B25" t="s">
        <v>219</v>
      </c>
      <c r="C25" t="s">
        <v>15</v>
      </c>
      <c r="D25" t="s">
        <v>16</v>
      </c>
      <c r="E25">
        <v>0.5299381008177817</v>
      </c>
      <c r="F25">
        <v>0.53716599607964499</v>
      </c>
      <c r="G25">
        <v>0.53716599607964499</v>
      </c>
      <c r="H25" s="3">
        <v>0</v>
      </c>
      <c r="I25">
        <v>17.074099063873291</v>
      </c>
      <c r="J25">
        <v>111.91445469856259</v>
      </c>
      <c r="K25">
        <v>0.53716599607828508</v>
      </c>
      <c r="L25">
        <v>98.443241999999998</v>
      </c>
      <c r="M25">
        <v>562.69377499999996</v>
      </c>
      <c r="N25">
        <v>1</v>
      </c>
      <c r="O25" t="s">
        <v>133</v>
      </c>
      <c r="P25" t="s">
        <v>133</v>
      </c>
    </row>
    <row r="26" spans="1:16">
      <c r="A26" s="1">
        <v>72</v>
      </c>
      <c r="B26" t="s">
        <v>220</v>
      </c>
      <c r="C26" t="s">
        <v>15</v>
      </c>
      <c r="D26" t="s">
        <v>16</v>
      </c>
      <c r="E26">
        <v>0.53241389090944058</v>
      </c>
      <c r="F26">
        <v>0.53623104302073665</v>
      </c>
      <c r="G26">
        <v>0.53623104302073665</v>
      </c>
      <c r="H26" s="3">
        <v>0</v>
      </c>
      <c r="I26">
        <v>22.060004949569699</v>
      </c>
      <c r="J26">
        <v>110.3395547866821</v>
      </c>
      <c r="K26">
        <v>0.53623104301944524</v>
      </c>
      <c r="L26">
        <v>107.15682099999999</v>
      </c>
      <c r="M26">
        <v>571.38707499999998</v>
      </c>
      <c r="N26">
        <v>1</v>
      </c>
      <c r="O26" t="s">
        <v>138</v>
      </c>
      <c r="P26" t="s">
        <v>138</v>
      </c>
    </row>
    <row r="27" spans="1:16">
      <c r="A27" s="1">
        <v>75</v>
      </c>
      <c r="B27" t="s">
        <v>221</v>
      </c>
      <c r="C27" t="s">
        <v>15</v>
      </c>
      <c r="D27" t="s">
        <v>16</v>
      </c>
      <c r="E27">
        <v>0.52783298602640039</v>
      </c>
      <c r="F27">
        <v>0.53348550500361092</v>
      </c>
      <c r="G27">
        <v>0.53384530073248726</v>
      </c>
      <c r="H27" s="3">
        <v>6.7397002161987712E-2</v>
      </c>
      <c r="I27">
        <v>16.36688494682312</v>
      </c>
      <c r="J27">
        <v>98.855041980743408</v>
      </c>
      <c r="K27">
        <v>0.53384530073114067</v>
      </c>
      <c r="L27">
        <v>214.90769299999999</v>
      </c>
      <c r="M27">
        <v>519.45569499999999</v>
      </c>
      <c r="N27">
        <v>0.84</v>
      </c>
      <c r="O27" t="s">
        <v>142</v>
      </c>
      <c r="P27" t="s">
        <v>143</v>
      </c>
    </row>
    <row r="28" spans="1:16">
      <c r="A28" s="1">
        <v>78</v>
      </c>
      <c r="B28" t="s">
        <v>222</v>
      </c>
      <c r="C28" t="s">
        <v>15</v>
      </c>
      <c r="D28" t="s">
        <v>16</v>
      </c>
      <c r="E28">
        <v>0.51225074712311247</v>
      </c>
      <c r="F28">
        <v>0.51871453626328279</v>
      </c>
      <c r="G28">
        <v>0.51879449086969975</v>
      </c>
      <c r="H28" s="3">
        <v>1.54116143914579E-2</v>
      </c>
      <c r="I28">
        <v>26.214418888092041</v>
      </c>
      <c r="J28">
        <v>175.72520422935489</v>
      </c>
      <c r="K28">
        <v>0.51879449086852747</v>
      </c>
      <c r="L28">
        <v>84.354718000000005</v>
      </c>
      <c r="M28">
        <v>411.15699000000001</v>
      </c>
      <c r="N28">
        <v>0.93103448275862066</v>
      </c>
      <c r="O28" t="s">
        <v>148</v>
      </c>
      <c r="P28" t="s">
        <v>149</v>
      </c>
    </row>
    <row r="29" spans="1:16">
      <c r="A29" s="1">
        <v>81</v>
      </c>
      <c r="B29" t="s">
        <v>223</v>
      </c>
      <c r="C29" t="s">
        <v>15</v>
      </c>
      <c r="D29" t="s">
        <v>16</v>
      </c>
      <c r="E29">
        <v>0.51826855067594779</v>
      </c>
      <c r="F29">
        <v>0.52217837614773543</v>
      </c>
      <c r="G29">
        <v>0.52247756112658617</v>
      </c>
      <c r="H29" s="3">
        <v>5.7262742194251648E-2</v>
      </c>
      <c r="I29">
        <v>53.492987871170037</v>
      </c>
      <c r="J29">
        <v>98.044370651245117</v>
      </c>
      <c r="K29">
        <v>0.52247756112536015</v>
      </c>
      <c r="L29">
        <v>93.553269</v>
      </c>
      <c r="M29">
        <v>388.55621400000001</v>
      </c>
      <c r="N29">
        <v>0.86206896551724133</v>
      </c>
      <c r="O29" t="s">
        <v>154</v>
      </c>
      <c r="P29" t="s">
        <v>155</v>
      </c>
    </row>
    <row r="30" spans="1:16">
      <c r="A30" s="1">
        <v>84</v>
      </c>
      <c r="B30" t="s">
        <v>224</v>
      </c>
      <c r="C30" t="s">
        <v>15</v>
      </c>
      <c r="D30" t="s">
        <v>16</v>
      </c>
      <c r="E30">
        <v>0.51181772342471132</v>
      </c>
      <c r="F30">
        <v>0.51685365727844834</v>
      </c>
      <c r="G30">
        <v>0.51685365727844834</v>
      </c>
      <c r="H30" s="3">
        <v>0</v>
      </c>
      <c r="I30">
        <v>17.537952899932861</v>
      </c>
      <c r="J30">
        <v>89.479946136474609</v>
      </c>
      <c r="K30">
        <v>0.51685365727723953</v>
      </c>
      <c r="L30">
        <v>72.001559</v>
      </c>
      <c r="M30">
        <v>395.07164899999998</v>
      </c>
      <c r="N30">
        <v>1</v>
      </c>
      <c r="O30" t="s">
        <v>159</v>
      </c>
      <c r="P30" t="s">
        <v>159</v>
      </c>
    </row>
    <row r="31" spans="1:16">
      <c r="A31" s="1">
        <v>87</v>
      </c>
      <c r="B31" t="s">
        <v>225</v>
      </c>
      <c r="C31" t="s">
        <v>15</v>
      </c>
      <c r="D31" t="s">
        <v>16</v>
      </c>
      <c r="E31">
        <v>0.54352476773006242</v>
      </c>
      <c r="F31">
        <v>0.54543227071082223</v>
      </c>
      <c r="G31">
        <v>0.54528912617352732</v>
      </c>
      <c r="H31" s="5">
        <v>-2.6251126315209494E-2</v>
      </c>
      <c r="I31">
        <v>12.30300188064575</v>
      </c>
      <c r="J31">
        <v>95.726741075515747</v>
      </c>
      <c r="K31">
        <v>0.54528912617214698</v>
      </c>
      <c r="L31">
        <v>194.02400600000001</v>
      </c>
      <c r="M31">
        <v>431.74331599999999</v>
      </c>
      <c r="N31">
        <v>0.90909090909090906</v>
      </c>
      <c r="O31" t="s">
        <v>164</v>
      </c>
      <c r="P31" t="s">
        <v>165</v>
      </c>
    </row>
    <row r="32" spans="1:16">
      <c r="A32" s="1">
        <v>90</v>
      </c>
      <c r="B32" t="s">
        <v>226</v>
      </c>
      <c r="C32" t="s">
        <v>15</v>
      </c>
      <c r="D32" t="s">
        <v>16</v>
      </c>
      <c r="E32">
        <v>0.54979523368594918</v>
      </c>
      <c r="F32">
        <v>0.55255338904363971</v>
      </c>
      <c r="G32">
        <v>0.55255338904363971</v>
      </c>
      <c r="H32" s="3">
        <v>0</v>
      </c>
      <c r="I32">
        <v>8.2757289409637451</v>
      </c>
      <c r="J32">
        <v>104.3574867248535</v>
      </c>
      <c r="K32">
        <v>0.55255338904228279</v>
      </c>
      <c r="L32">
        <v>75.239912000000004</v>
      </c>
      <c r="M32">
        <v>417.89945399999999</v>
      </c>
      <c r="N32">
        <v>1</v>
      </c>
      <c r="O32" t="s">
        <v>169</v>
      </c>
      <c r="P32" t="s">
        <v>169</v>
      </c>
    </row>
    <row r="33" spans="1:16">
      <c r="A33" s="1">
        <v>93</v>
      </c>
      <c r="B33" t="s">
        <v>227</v>
      </c>
      <c r="C33" t="s">
        <v>15</v>
      </c>
      <c r="D33" t="s">
        <v>16</v>
      </c>
      <c r="E33">
        <v>0.55045140431950024</v>
      </c>
      <c r="F33">
        <v>0.55363019704941718</v>
      </c>
      <c r="G33">
        <v>0.55363019704941718</v>
      </c>
      <c r="H33" s="3">
        <v>0</v>
      </c>
      <c r="I33">
        <v>8.7748689651489258</v>
      </c>
      <c r="J33">
        <v>103.4318528175354</v>
      </c>
      <c r="K33">
        <v>0.5536301970479548</v>
      </c>
      <c r="L33">
        <v>83.210137000000003</v>
      </c>
      <c r="M33">
        <v>424.16030999999998</v>
      </c>
      <c r="N33">
        <v>1</v>
      </c>
      <c r="O33" t="s">
        <v>174</v>
      </c>
      <c r="P33" t="s">
        <v>174</v>
      </c>
    </row>
    <row r="34" spans="1:16">
      <c r="A34" s="1">
        <v>96</v>
      </c>
      <c r="B34" t="s">
        <v>228</v>
      </c>
      <c r="C34" t="s">
        <v>15</v>
      </c>
      <c r="D34" t="s">
        <v>16</v>
      </c>
      <c r="E34">
        <v>0.53358749889806567</v>
      </c>
      <c r="F34">
        <v>0.5392448158464872</v>
      </c>
      <c r="G34">
        <v>0.53954142164448571</v>
      </c>
      <c r="H34" s="3">
        <v>5.4973684336315005E-2</v>
      </c>
      <c r="I34">
        <v>27.093148946762081</v>
      </c>
      <c r="J34">
        <v>115.72535490989689</v>
      </c>
      <c r="K34">
        <v>0.53954142164316166</v>
      </c>
      <c r="L34">
        <v>105.58671200000001</v>
      </c>
      <c r="M34">
        <v>394.244236</v>
      </c>
      <c r="N34">
        <v>0.8</v>
      </c>
      <c r="O34" t="s">
        <v>179</v>
      </c>
      <c r="P34" t="s">
        <v>180</v>
      </c>
    </row>
    <row r="35" spans="1:16">
      <c r="A35" s="1">
        <v>99</v>
      </c>
      <c r="B35" t="s">
        <v>229</v>
      </c>
      <c r="C35" t="s">
        <v>15</v>
      </c>
      <c r="D35" t="s">
        <v>16</v>
      </c>
      <c r="E35">
        <v>0.50581596701312481</v>
      </c>
      <c r="F35">
        <v>0.51505983699577007</v>
      </c>
      <c r="G35">
        <v>0.51521716702775189</v>
      </c>
      <c r="H35" s="3">
        <v>3.0536643972762397E-2</v>
      </c>
      <c r="I35">
        <v>26.451076030731201</v>
      </c>
      <c r="J35">
        <v>92.211967468261719</v>
      </c>
      <c r="K35">
        <v>0.5152171670266027</v>
      </c>
      <c r="L35">
        <v>113.87076999999999</v>
      </c>
      <c r="M35">
        <v>367.80238500000002</v>
      </c>
      <c r="N35">
        <v>0.8666666666666667</v>
      </c>
      <c r="O35" t="s">
        <v>185</v>
      </c>
      <c r="P35" t="s">
        <v>186</v>
      </c>
    </row>
    <row r="36" spans="1:16">
      <c r="A36" s="1">
        <v>102</v>
      </c>
      <c r="B36" t="s">
        <v>230</v>
      </c>
      <c r="C36" t="s">
        <v>15</v>
      </c>
      <c r="D36" t="s">
        <v>16</v>
      </c>
      <c r="E36">
        <v>0.49749722806423319</v>
      </c>
      <c r="F36">
        <v>0.50263850201176108</v>
      </c>
      <c r="G36">
        <v>0.50263850201176108</v>
      </c>
      <c r="H36" s="3">
        <v>0</v>
      </c>
      <c r="I36">
        <v>39.897307157516479</v>
      </c>
      <c r="J36">
        <v>91.600391387939453</v>
      </c>
      <c r="K36">
        <v>0.50263850201082116</v>
      </c>
      <c r="L36">
        <v>88.010683</v>
      </c>
      <c r="M36">
        <v>377.47987499999999</v>
      </c>
      <c r="N36">
        <v>1</v>
      </c>
      <c r="O36" t="s">
        <v>191</v>
      </c>
      <c r="P36" t="s">
        <v>191</v>
      </c>
    </row>
    <row r="37" spans="1:16">
      <c r="G37" t="s">
        <v>15</v>
      </c>
      <c r="H37" s="1" t="s">
        <v>6</v>
      </c>
      <c r="I37" s="1" t="s">
        <v>7</v>
      </c>
      <c r="J37" s="1" t="s">
        <v>8</v>
      </c>
      <c r="K37" s="1" t="s">
        <v>9</v>
      </c>
      <c r="L37" s="1" t="s">
        <v>10</v>
      </c>
      <c r="M37" s="1" t="s">
        <v>11</v>
      </c>
      <c r="N37" s="1" t="s">
        <v>12</v>
      </c>
    </row>
    <row r="38" spans="1:16">
      <c r="G38" t="s">
        <v>232</v>
      </c>
      <c r="H38" s="3">
        <f>AVERAGE(H2:H36)</f>
        <v>3.1183895360575198E-2</v>
      </c>
      <c r="I38" s="3">
        <f t="shared" ref="I38:N38" si="0">AVERAGE(I2:I36)</f>
        <v>17.588476017543247</v>
      </c>
      <c r="J38" s="3">
        <f t="shared" si="0"/>
        <v>110.27883654321943</v>
      </c>
      <c r="K38" s="3">
        <f t="shared" si="0"/>
        <v>0.53513752929082803</v>
      </c>
      <c r="L38" s="3">
        <f t="shared" si="0"/>
        <v>99.467590485714268</v>
      </c>
      <c r="M38" s="3">
        <f t="shared" si="0"/>
        <v>447.44217468571441</v>
      </c>
      <c r="N38" s="3">
        <f t="shared" si="0"/>
        <v>0.93692645046788403</v>
      </c>
    </row>
    <row r="39" spans="1:16">
      <c r="G39" t="s">
        <v>233</v>
      </c>
      <c r="H39" s="3">
        <f>STDEV(H2:H36)</f>
        <v>8.370916563074661E-2</v>
      </c>
      <c r="I39" s="3">
        <f t="shared" ref="I39:N39" si="1">STDEV(I2:I36)</f>
        <v>12.32754794874057</v>
      </c>
      <c r="J39" s="3">
        <f t="shared" si="1"/>
        <v>25.092003353446962</v>
      </c>
      <c r="K39" s="3">
        <f t="shared" si="1"/>
        <v>1.6101234413677619E-2</v>
      </c>
      <c r="L39" s="3">
        <f t="shared" si="1"/>
        <v>32.252974256940725</v>
      </c>
      <c r="M39" s="3">
        <f t="shared" si="1"/>
        <v>71.215237521729946</v>
      </c>
      <c r="N39" s="3">
        <f t="shared" si="1"/>
        <v>7.2282644716132827E-2</v>
      </c>
    </row>
    <row r="40" spans="1:16">
      <c r="G40" t="s">
        <v>234</v>
      </c>
      <c r="H40" s="3">
        <f>MAX(H2:H36)</f>
        <v>0.4712412366136241</v>
      </c>
      <c r="I40" s="3">
        <f t="shared" ref="I40:N40" si="2">MAX(I2:I36)</f>
        <v>56.588647127151489</v>
      </c>
      <c r="J40" s="3">
        <f t="shared" si="2"/>
        <v>201.65899395942691</v>
      </c>
      <c r="K40" s="3">
        <f t="shared" si="2"/>
        <v>0.56270633446670926</v>
      </c>
      <c r="L40" s="3">
        <f t="shared" si="2"/>
        <v>214.90769299999999</v>
      </c>
      <c r="M40" s="3">
        <f t="shared" si="2"/>
        <v>577.26442799999995</v>
      </c>
      <c r="N40" s="3">
        <f t="shared" si="2"/>
        <v>1</v>
      </c>
    </row>
    <row r="41" spans="1:16">
      <c r="G41" t="s">
        <v>235</v>
      </c>
      <c r="H41" s="3">
        <f>MIN(H2:H36)</f>
        <v>-2.6251126315209494E-2</v>
      </c>
      <c r="I41" s="3">
        <f t="shared" ref="I41:N41" si="3">MIN(I2:I36)</f>
        <v>4.7286860942840576</v>
      </c>
      <c r="J41" s="3">
        <f t="shared" si="3"/>
        <v>83.709509134292603</v>
      </c>
      <c r="K41" s="3">
        <f t="shared" si="3"/>
        <v>0.49897864438171757</v>
      </c>
      <c r="L41" s="3">
        <f t="shared" si="3"/>
        <v>60.626511000000001</v>
      </c>
      <c r="M41" s="3">
        <f t="shared" si="3"/>
        <v>365.94486599999999</v>
      </c>
      <c r="N41" s="3">
        <f t="shared" si="3"/>
        <v>0.78947368421052633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C181-57E4-E74E-AE7B-6781853C3D9D}">
  <dimension ref="A1:P41"/>
  <sheetViews>
    <sheetView topLeftCell="A10" workbookViewId="0">
      <selection activeCell="G37" sqref="G37:N41"/>
    </sheetView>
  </sheetViews>
  <sheetFormatPr defaultColWidth="11.42578125"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1</v>
      </c>
      <c r="B2" t="s">
        <v>196</v>
      </c>
      <c r="C2" t="s">
        <v>15</v>
      </c>
      <c r="D2" t="s">
        <v>19</v>
      </c>
      <c r="E2">
        <v>0.344610029613932</v>
      </c>
      <c r="F2">
        <v>0.34038054968287529</v>
      </c>
      <c r="G2">
        <v>0.34055673009161369</v>
      </c>
      <c r="H2" s="3">
        <v>5.1733057423650877E-2</v>
      </c>
      <c r="I2">
        <v>27.522747993469238</v>
      </c>
      <c r="J2">
        <v>118.57351493835451</v>
      </c>
      <c r="K2">
        <v>0.34055673009161153</v>
      </c>
      <c r="L2">
        <v>38.155582000000003</v>
      </c>
      <c r="M2">
        <v>407.302909</v>
      </c>
      <c r="N2">
        <v>0.8214285714285714</v>
      </c>
      <c r="O2" t="s">
        <v>17</v>
      </c>
      <c r="P2" t="s">
        <v>20</v>
      </c>
    </row>
    <row r="3" spans="1:16">
      <c r="A3" s="1">
        <v>4</v>
      </c>
      <c r="B3" t="s">
        <v>197</v>
      </c>
      <c r="C3" t="s">
        <v>15</v>
      </c>
      <c r="D3" t="s">
        <v>19</v>
      </c>
      <c r="E3">
        <v>0.43054574227247783</v>
      </c>
      <c r="F3">
        <v>0.41120507399577172</v>
      </c>
      <c r="G3">
        <v>0.4115574348132488</v>
      </c>
      <c r="H3" s="3">
        <v>8.5616438356160854E-2</v>
      </c>
      <c r="I3">
        <v>18.124361991882321</v>
      </c>
      <c r="J3">
        <v>102.03928780555729</v>
      </c>
      <c r="K3">
        <v>0.41155743481323892</v>
      </c>
      <c r="L3">
        <v>48.117085000000003</v>
      </c>
      <c r="M3">
        <v>396.25804799999997</v>
      </c>
      <c r="N3">
        <v>0.77419354838709675</v>
      </c>
      <c r="O3" t="s">
        <v>25</v>
      </c>
      <c r="P3" t="s">
        <v>26</v>
      </c>
    </row>
    <row r="4" spans="1:16">
      <c r="A4" s="1">
        <v>7</v>
      </c>
      <c r="B4" t="s">
        <v>198</v>
      </c>
      <c r="C4" t="s">
        <v>15</v>
      </c>
      <c r="D4" t="s">
        <v>19</v>
      </c>
      <c r="E4">
        <v>0.32129658468591321</v>
      </c>
      <c r="F4">
        <v>0.33033826638477798</v>
      </c>
      <c r="G4">
        <v>0.3309196617336152</v>
      </c>
      <c r="H4" s="3">
        <v>0.17569078421977688</v>
      </c>
      <c r="I4">
        <v>79.558164119720459</v>
      </c>
      <c r="J4">
        <v>91.404918909072876</v>
      </c>
      <c r="K4">
        <v>0.33091966173362081</v>
      </c>
      <c r="L4">
        <v>86.067673999999997</v>
      </c>
      <c r="M4">
        <v>399.49296800000002</v>
      </c>
      <c r="N4">
        <v>0.88571428571428568</v>
      </c>
      <c r="O4" t="s">
        <v>30</v>
      </c>
      <c r="P4" t="s">
        <v>31</v>
      </c>
    </row>
    <row r="5" spans="1:16">
      <c r="A5" s="1">
        <v>10</v>
      </c>
      <c r="B5" t="s">
        <v>199</v>
      </c>
      <c r="C5" t="s">
        <v>15</v>
      </c>
      <c r="D5" t="s">
        <v>19</v>
      </c>
      <c r="E5">
        <v>0.46242485131847538</v>
      </c>
      <c r="F5">
        <v>0.44785059901338969</v>
      </c>
      <c r="G5">
        <v>0.44785059901338969</v>
      </c>
      <c r="H5" s="3">
        <v>0</v>
      </c>
      <c r="I5">
        <v>6.8750312328338623</v>
      </c>
      <c r="J5">
        <v>104.2140181064606</v>
      </c>
      <c r="K5">
        <v>0.44785059901337959</v>
      </c>
      <c r="L5">
        <v>31.227765000000002</v>
      </c>
      <c r="M5">
        <v>394.894248</v>
      </c>
      <c r="N5">
        <v>1</v>
      </c>
      <c r="O5" t="s">
        <v>34</v>
      </c>
      <c r="P5" t="s">
        <v>34</v>
      </c>
    </row>
    <row r="6" spans="1:16">
      <c r="A6" s="1">
        <v>13</v>
      </c>
      <c r="B6" t="s">
        <v>200</v>
      </c>
      <c r="C6" t="s">
        <v>15</v>
      </c>
      <c r="D6" t="s">
        <v>19</v>
      </c>
      <c r="E6">
        <v>0.40963765134302671</v>
      </c>
      <c r="F6">
        <v>0.41420014094432711</v>
      </c>
      <c r="G6">
        <v>0.41420014094432711</v>
      </c>
      <c r="H6" s="3">
        <v>0</v>
      </c>
      <c r="I6">
        <v>6.4551260471343994</v>
      </c>
      <c r="J6">
        <v>95.045179843902588</v>
      </c>
      <c r="K6">
        <v>0.41420014094432028</v>
      </c>
      <c r="L6">
        <v>40.272782999999997</v>
      </c>
      <c r="M6">
        <v>378.302436</v>
      </c>
      <c r="N6">
        <v>1</v>
      </c>
      <c r="O6" t="s">
        <v>38</v>
      </c>
      <c r="P6" t="s">
        <v>38</v>
      </c>
    </row>
    <row r="7" spans="1:16">
      <c r="A7" s="1">
        <v>16</v>
      </c>
      <c r="B7" t="s">
        <v>201</v>
      </c>
      <c r="C7" t="s">
        <v>15</v>
      </c>
      <c r="D7" t="s">
        <v>19</v>
      </c>
      <c r="E7">
        <v>0.44190486089917258</v>
      </c>
      <c r="F7">
        <v>0.43727977448907679</v>
      </c>
      <c r="G7">
        <v>0.441508104298802</v>
      </c>
      <c r="H7" s="3">
        <v>0.95770151636074508</v>
      </c>
      <c r="I7">
        <v>18.842672109603878</v>
      </c>
      <c r="J7">
        <v>88.102715015411377</v>
      </c>
      <c r="K7">
        <v>0.44150810429879361</v>
      </c>
      <c r="L7">
        <v>50.483595000000001</v>
      </c>
      <c r="M7">
        <v>395.87896499999999</v>
      </c>
      <c r="N7">
        <v>0.83333333333333337</v>
      </c>
      <c r="O7" t="s">
        <v>43</v>
      </c>
      <c r="P7" t="s">
        <v>44</v>
      </c>
    </row>
    <row r="8" spans="1:16">
      <c r="A8" s="1">
        <v>19</v>
      </c>
      <c r="B8" t="s">
        <v>202</v>
      </c>
      <c r="C8" t="s">
        <v>15</v>
      </c>
      <c r="D8" t="s">
        <v>19</v>
      </c>
      <c r="E8">
        <v>0.46731540363589119</v>
      </c>
      <c r="F8">
        <v>0.44785059901338969</v>
      </c>
      <c r="G8">
        <v>0.44785059901338969</v>
      </c>
      <c r="H8" s="3">
        <v>0</v>
      </c>
      <c r="I8">
        <v>6.6984658241271973</v>
      </c>
      <c r="J8">
        <v>111.61703014373779</v>
      </c>
      <c r="K8">
        <v>0.44785059901337448</v>
      </c>
      <c r="L8">
        <v>47.506993999999999</v>
      </c>
      <c r="M8">
        <v>365.94486599999999</v>
      </c>
      <c r="N8">
        <v>0.73913043478260865</v>
      </c>
      <c r="O8" t="s">
        <v>48</v>
      </c>
      <c r="P8" t="s">
        <v>49</v>
      </c>
    </row>
    <row r="9" spans="1:16">
      <c r="A9" s="1">
        <v>22</v>
      </c>
      <c r="B9" t="s">
        <v>203</v>
      </c>
      <c r="C9" t="s">
        <v>15</v>
      </c>
      <c r="D9" t="s">
        <v>19</v>
      </c>
      <c r="E9">
        <v>0.34599458439254871</v>
      </c>
      <c r="F9">
        <v>0.34041578576462289</v>
      </c>
      <c r="G9">
        <v>0.34499647639182518</v>
      </c>
      <c r="H9" s="3">
        <v>1.3277499744663566</v>
      </c>
      <c r="I9">
        <v>18.62675309181213</v>
      </c>
      <c r="J9">
        <v>88.24916934967041</v>
      </c>
      <c r="K9">
        <v>0.34499647639182718</v>
      </c>
      <c r="L9">
        <v>47.443153000000002</v>
      </c>
      <c r="M9">
        <v>373.86964999999998</v>
      </c>
      <c r="N9">
        <v>0.81818181818181823</v>
      </c>
      <c r="O9" t="s">
        <v>54</v>
      </c>
      <c r="P9" t="s">
        <v>55</v>
      </c>
    </row>
    <row r="10" spans="1:16">
      <c r="A10" s="1">
        <v>25</v>
      </c>
      <c r="B10" t="s">
        <v>204</v>
      </c>
      <c r="C10" t="s">
        <v>15</v>
      </c>
      <c r="D10" t="s">
        <v>19</v>
      </c>
      <c r="E10">
        <v>0.48976801714604312</v>
      </c>
      <c r="F10">
        <v>0.48431994362226921</v>
      </c>
      <c r="G10">
        <v>0.48484848484848481</v>
      </c>
      <c r="H10" s="3">
        <v>0.10901162790696654</v>
      </c>
      <c r="I10">
        <v>11.79454898834229</v>
      </c>
      <c r="J10">
        <v>83.709509134292603</v>
      </c>
      <c r="K10">
        <v>0.48484848484847443</v>
      </c>
      <c r="L10">
        <v>58.869235000000003</v>
      </c>
      <c r="M10">
        <v>377.51222799999999</v>
      </c>
      <c r="N10">
        <v>0.91666666666666663</v>
      </c>
      <c r="O10" t="s">
        <v>59</v>
      </c>
      <c r="P10" t="s">
        <v>60</v>
      </c>
    </row>
    <row r="11" spans="1:16">
      <c r="A11" s="1">
        <v>28</v>
      </c>
      <c r="B11" t="s">
        <v>205</v>
      </c>
      <c r="C11" t="s">
        <v>15</v>
      </c>
      <c r="D11" t="s">
        <v>19</v>
      </c>
      <c r="E11">
        <v>0.43603932730058631</v>
      </c>
      <c r="F11">
        <v>0.43833685694150809</v>
      </c>
      <c r="G11">
        <v>0.43833685694150809</v>
      </c>
      <c r="H11" s="3">
        <v>0</v>
      </c>
      <c r="I11">
        <v>10.401221036911011</v>
      </c>
      <c r="J11">
        <v>93.919439792633057</v>
      </c>
      <c r="K11">
        <v>0.43833685694150037</v>
      </c>
      <c r="L11">
        <v>41.674855999999998</v>
      </c>
      <c r="M11">
        <v>369.40720199999998</v>
      </c>
      <c r="N11">
        <v>0.95454545454545459</v>
      </c>
      <c r="O11" t="s">
        <v>65</v>
      </c>
      <c r="P11" t="s">
        <v>66</v>
      </c>
    </row>
    <row r="12" spans="1:16">
      <c r="A12" s="1">
        <v>31</v>
      </c>
      <c r="B12" t="s">
        <v>206</v>
      </c>
      <c r="C12" t="s">
        <v>15</v>
      </c>
      <c r="D12" t="s">
        <v>19</v>
      </c>
      <c r="E12">
        <v>0.68369097295791725</v>
      </c>
      <c r="F12">
        <v>0.65785764622973919</v>
      </c>
      <c r="G12">
        <v>0.65785764622973919</v>
      </c>
      <c r="H12" s="3">
        <v>0</v>
      </c>
      <c r="I12">
        <v>6.0907638072967529</v>
      </c>
      <c r="J12">
        <v>109.1506240367889</v>
      </c>
      <c r="K12">
        <v>0.65785764622974396</v>
      </c>
      <c r="L12">
        <v>44.191336</v>
      </c>
      <c r="M12">
        <v>414.60107499999998</v>
      </c>
      <c r="N12">
        <v>0.78260869565217395</v>
      </c>
      <c r="O12" t="s">
        <v>69</v>
      </c>
      <c r="P12" t="s">
        <v>71</v>
      </c>
    </row>
    <row r="13" spans="1:16">
      <c r="A13" s="1">
        <v>34</v>
      </c>
      <c r="B13" t="s">
        <v>207</v>
      </c>
      <c r="C13" t="s">
        <v>15</v>
      </c>
      <c r="D13" t="s">
        <v>19</v>
      </c>
      <c r="E13">
        <v>0.67879699463109944</v>
      </c>
      <c r="F13">
        <v>0.65451021846370683</v>
      </c>
      <c r="G13">
        <v>0.65451021846370683</v>
      </c>
      <c r="H13" s="3">
        <v>0</v>
      </c>
      <c r="I13">
        <v>11.784255027771</v>
      </c>
      <c r="J13">
        <v>92.079463243484497</v>
      </c>
      <c r="K13">
        <v>0.65451021846371094</v>
      </c>
      <c r="L13">
        <v>58.076062</v>
      </c>
      <c r="M13">
        <v>439.11139300000002</v>
      </c>
      <c r="N13">
        <v>0.82352941176470584</v>
      </c>
      <c r="O13" t="s">
        <v>76</v>
      </c>
      <c r="P13" t="s">
        <v>77</v>
      </c>
    </row>
    <row r="14" spans="1:16">
      <c r="A14" s="1">
        <v>37</v>
      </c>
      <c r="B14" t="s">
        <v>208</v>
      </c>
      <c r="C14" t="s">
        <v>15</v>
      </c>
      <c r="D14" t="s">
        <v>19</v>
      </c>
      <c r="E14">
        <v>0.66286598216313752</v>
      </c>
      <c r="F14">
        <v>0.64781536293164188</v>
      </c>
      <c r="G14">
        <v>0.64781536293164188</v>
      </c>
      <c r="H14" s="3">
        <v>0</v>
      </c>
      <c r="I14">
        <v>17.991520881652828</v>
      </c>
      <c r="J14">
        <v>103.36076903343201</v>
      </c>
      <c r="K14">
        <v>0.64781536293164454</v>
      </c>
      <c r="L14">
        <v>51.884079</v>
      </c>
      <c r="M14">
        <v>571.013824</v>
      </c>
      <c r="N14">
        <v>0.7</v>
      </c>
      <c r="O14" t="s">
        <v>81</v>
      </c>
      <c r="P14" t="s">
        <v>82</v>
      </c>
    </row>
    <row r="15" spans="1:16">
      <c r="A15" s="1">
        <v>40</v>
      </c>
      <c r="B15" t="s">
        <v>209</v>
      </c>
      <c r="C15" t="s">
        <v>15</v>
      </c>
      <c r="D15" t="s">
        <v>19</v>
      </c>
      <c r="E15">
        <v>0.67859135771946222</v>
      </c>
      <c r="F15">
        <v>0.65715292459478514</v>
      </c>
      <c r="G15">
        <v>0.65715292459478514</v>
      </c>
      <c r="H15" s="3">
        <v>0</v>
      </c>
      <c r="I15">
        <v>9.8361470699310303</v>
      </c>
      <c r="J15">
        <v>108.88965702056881</v>
      </c>
      <c r="K15">
        <v>0.65715292459478969</v>
      </c>
      <c r="L15">
        <v>52.041269</v>
      </c>
      <c r="M15">
        <v>548.25267099999996</v>
      </c>
      <c r="N15">
        <v>0.65625</v>
      </c>
      <c r="O15" t="s">
        <v>85</v>
      </c>
      <c r="P15" t="s">
        <v>86</v>
      </c>
    </row>
    <row r="16" spans="1:16">
      <c r="A16" s="1">
        <v>43</v>
      </c>
      <c r="B16" t="s">
        <v>210</v>
      </c>
      <c r="C16" t="s">
        <v>15</v>
      </c>
      <c r="D16" t="s">
        <v>19</v>
      </c>
      <c r="E16">
        <v>0.54423237105683131</v>
      </c>
      <c r="F16">
        <v>0.55320648343904155</v>
      </c>
      <c r="G16">
        <v>0.55338266384778012</v>
      </c>
      <c r="H16" s="3">
        <v>3.1836994587714627E-2</v>
      </c>
      <c r="I16">
        <v>7.6002380847930908</v>
      </c>
      <c r="J16">
        <v>108.8407571315765</v>
      </c>
      <c r="K16">
        <v>0.55338266384776491</v>
      </c>
      <c r="L16">
        <v>51.777011000000002</v>
      </c>
      <c r="M16">
        <v>459.45757400000002</v>
      </c>
      <c r="N16">
        <v>0.9</v>
      </c>
      <c r="O16" t="s">
        <v>90</v>
      </c>
      <c r="P16" t="s">
        <v>91</v>
      </c>
    </row>
    <row r="17" spans="1:16">
      <c r="A17" s="1">
        <v>46</v>
      </c>
      <c r="B17" t="s">
        <v>211</v>
      </c>
      <c r="C17" t="s">
        <v>15</v>
      </c>
      <c r="D17" t="s">
        <v>19</v>
      </c>
      <c r="E17">
        <v>0.67231728319179906</v>
      </c>
      <c r="F17">
        <v>0.65697674418604646</v>
      </c>
      <c r="G17">
        <v>0.65697674418604646</v>
      </c>
      <c r="H17" s="3">
        <v>0</v>
      </c>
      <c r="I17">
        <v>9.8422560691833496</v>
      </c>
      <c r="J17">
        <v>150.93432974815369</v>
      </c>
      <c r="K17">
        <v>0.65697674418605112</v>
      </c>
      <c r="L17">
        <v>52.001668000000002</v>
      </c>
      <c r="M17">
        <v>517.11269100000004</v>
      </c>
      <c r="N17">
        <v>0.72</v>
      </c>
      <c r="O17" t="s">
        <v>93</v>
      </c>
      <c r="P17" t="s">
        <v>95</v>
      </c>
    </row>
    <row r="18" spans="1:16">
      <c r="A18" s="1">
        <v>49</v>
      </c>
      <c r="B18" t="s">
        <v>212</v>
      </c>
      <c r="C18" t="s">
        <v>15</v>
      </c>
      <c r="D18" t="s">
        <v>19</v>
      </c>
      <c r="E18">
        <v>0.65481159521635002</v>
      </c>
      <c r="F18">
        <v>0.65697674418604646</v>
      </c>
      <c r="G18">
        <v>0.65697674418604646</v>
      </c>
      <c r="H18" s="3">
        <v>0</v>
      </c>
      <c r="I18">
        <v>14.409117937088009</v>
      </c>
      <c r="J18">
        <v>112.42712736129759</v>
      </c>
      <c r="K18">
        <v>0.6569767441860509</v>
      </c>
      <c r="L18">
        <v>56.183546999999997</v>
      </c>
      <c r="M18">
        <v>452.08693799999998</v>
      </c>
      <c r="N18">
        <v>0.78125</v>
      </c>
      <c r="O18" t="s">
        <v>100</v>
      </c>
      <c r="P18" t="s">
        <v>101</v>
      </c>
    </row>
    <row r="19" spans="1:16">
      <c r="A19" s="1">
        <v>52</v>
      </c>
      <c r="B19" t="s">
        <v>213</v>
      </c>
      <c r="C19" t="s">
        <v>15</v>
      </c>
      <c r="D19" t="s">
        <v>19</v>
      </c>
      <c r="E19">
        <v>0.66166402351173881</v>
      </c>
      <c r="F19">
        <v>0.65768146582100073</v>
      </c>
      <c r="G19">
        <v>0.65768146582100073</v>
      </c>
      <c r="H19" s="3">
        <v>0</v>
      </c>
      <c r="I19">
        <v>14.289592981338499</v>
      </c>
      <c r="J19">
        <v>109.6335117816925</v>
      </c>
      <c r="K19">
        <v>0.6576814658210054</v>
      </c>
      <c r="L19">
        <v>50.882505999999999</v>
      </c>
      <c r="M19">
        <v>550.76449100000002</v>
      </c>
      <c r="N19">
        <v>0.73076923076923073</v>
      </c>
      <c r="O19" t="s">
        <v>104</v>
      </c>
      <c r="P19" t="s">
        <v>105</v>
      </c>
    </row>
    <row r="20" spans="1:16">
      <c r="A20" s="1">
        <v>55</v>
      </c>
      <c r="B20" t="s">
        <v>214</v>
      </c>
      <c r="C20" t="s">
        <v>15</v>
      </c>
      <c r="D20" t="s">
        <v>19</v>
      </c>
      <c r="E20">
        <v>0.55423690605435738</v>
      </c>
      <c r="F20">
        <v>0.54281183932346722</v>
      </c>
      <c r="G20">
        <v>0.54281183932346722</v>
      </c>
      <c r="H20" s="3">
        <v>0</v>
      </c>
      <c r="I20">
        <v>14.71879506111145</v>
      </c>
      <c r="J20">
        <v>201.65899395942691</v>
      </c>
      <c r="K20">
        <v>0.54281183932345078</v>
      </c>
      <c r="L20">
        <v>65.042561000000006</v>
      </c>
      <c r="M20">
        <v>539.99480200000005</v>
      </c>
      <c r="N20">
        <v>0.93939393939393945</v>
      </c>
      <c r="O20" t="s">
        <v>109</v>
      </c>
      <c r="P20" t="s">
        <v>110</v>
      </c>
    </row>
    <row r="21" spans="1:16">
      <c r="A21" s="1">
        <v>58</v>
      </c>
      <c r="B21" t="s">
        <v>215</v>
      </c>
      <c r="C21" t="s">
        <v>15</v>
      </c>
      <c r="D21" t="s">
        <v>19</v>
      </c>
      <c r="E21">
        <v>0.67094095094576311</v>
      </c>
      <c r="F21">
        <v>0.62958069062720212</v>
      </c>
      <c r="G21">
        <v>0.62958069062720212</v>
      </c>
      <c r="H21" s="3">
        <v>0</v>
      </c>
      <c r="I21">
        <v>13.23379015922546</v>
      </c>
      <c r="J21">
        <v>117.70892238616941</v>
      </c>
      <c r="K21">
        <v>0.62958069062720301</v>
      </c>
      <c r="L21">
        <v>70.629721000000004</v>
      </c>
      <c r="M21">
        <v>577.26442799999995</v>
      </c>
      <c r="N21">
        <v>0.65517241379310343</v>
      </c>
      <c r="O21" t="s">
        <v>114</v>
      </c>
      <c r="P21" t="s">
        <v>115</v>
      </c>
    </row>
    <row r="22" spans="1:16">
      <c r="A22" s="1">
        <v>61</v>
      </c>
      <c r="B22" t="s">
        <v>216</v>
      </c>
      <c r="C22" t="s">
        <v>15</v>
      </c>
      <c r="D22" t="s">
        <v>19</v>
      </c>
      <c r="E22">
        <v>0.59997372781814562</v>
      </c>
      <c r="F22">
        <v>0.63072586328400282</v>
      </c>
      <c r="G22">
        <v>0.63072586328400282</v>
      </c>
      <c r="H22" s="3">
        <v>0</v>
      </c>
      <c r="I22">
        <v>45.086941957473748</v>
      </c>
      <c r="J22">
        <v>154.35059809684751</v>
      </c>
      <c r="K22">
        <v>0.63072586328400337</v>
      </c>
      <c r="L22">
        <v>61.394362000000001</v>
      </c>
      <c r="M22">
        <v>467.62151</v>
      </c>
      <c r="N22">
        <v>0.80952380952380953</v>
      </c>
      <c r="O22" t="s">
        <v>120</v>
      </c>
      <c r="P22" t="s">
        <v>121</v>
      </c>
    </row>
    <row r="23" spans="1:16">
      <c r="A23" s="1">
        <v>64</v>
      </c>
      <c r="B23" t="s">
        <v>217</v>
      </c>
      <c r="C23" t="s">
        <v>15</v>
      </c>
      <c r="D23" t="s">
        <v>19</v>
      </c>
      <c r="E23">
        <v>0.58526843649845373</v>
      </c>
      <c r="F23">
        <v>0.63407329105003518</v>
      </c>
      <c r="G23">
        <v>0.63407329105003518</v>
      </c>
      <c r="H23" s="3">
        <v>0</v>
      </c>
      <c r="I23">
        <v>18.565068960189819</v>
      </c>
      <c r="J23">
        <v>101.223935842514</v>
      </c>
      <c r="K23">
        <v>0.63407329105003685</v>
      </c>
      <c r="L23">
        <v>51.593214000000003</v>
      </c>
      <c r="M23">
        <v>472.44138700000002</v>
      </c>
      <c r="N23">
        <v>0.79487179487179482</v>
      </c>
      <c r="O23" t="s">
        <v>124</v>
      </c>
      <c r="P23" t="s">
        <v>125</v>
      </c>
    </row>
    <row r="24" spans="1:16">
      <c r="A24" s="1">
        <v>67</v>
      </c>
      <c r="B24" t="s">
        <v>218</v>
      </c>
      <c r="C24" t="s">
        <v>15</v>
      </c>
      <c r="D24" t="s">
        <v>19</v>
      </c>
      <c r="E24">
        <v>0.53904282944296278</v>
      </c>
      <c r="F24">
        <v>0.52642706131078221</v>
      </c>
      <c r="G24">
        <v>0.53188865398167717</v>
      </c>
      <c r="H24" s="3">
        <v>1.0268300761841613</v>
      </c>
      <c r="I24">
        <v>62.116991996765137</v>
      </c>
      <c r="J24">
        <v>125.21343946456911</v>
      </c>
      <c r="K24">
        <v>0.53188865398165952</v>
      </c>
      <c r="L24">
        <v>59.350253000000002</v>
      </c>
      <c r="M24">
        <v>530.23883599999999</v>
      </c>
      <c r="N24">
        <v>0.70833333333333337</v>
      </c>
      <c r="O24" t="s">
        <v>129</v>
      </c>
      <c r="P24" t="s">
        <v>130</v>
      </c>
    </row>
    <row r="25" spans="1:16">
      <c r="A25" s="1">
        <v>70</v>
      </c>
      <c r="B25" t="s">
        <v>219</v>
      </c>
      <c r="C25" t="s">
        <v>15</v>
      </c>
      <c r="D25" t="s">
        <v>19</v>
      </c>
      <c r="E25">
        <v>0.50455502811663255</v>
      </c>
      <c r="F25">
        <v>0.4904862579281184</v>
      </c>
      <c r="G25">
        <v>0.4904862579281184</v>
      </c>
      <c r="H25" s="3">
        <v>0</v>
      </c>
      <c r="I25">
        <v>16.837325096130371</v>
      </c>
      <c r="J25">
        <v>111.91445469856259</v>
      </c>
      <c r="K25">
        <v>0.49048625792810641</v>
      </c>
      <c r="L25">
        <v>88.637203</v>
      </c>
      <c r="M25">
        <v>562.69377499999996</v>
      </c>
      <c r="N25">
        <v>0.93333333333333335</v>
      </c>
      <c r="O25" t="s">
        <v>134</v>
      </c>
      <c r="P25" t="s">
        <v>135</v>
      </c>
    </row>
    <row r="26" spans="1:16">
      <c r="A26" s="1">
        <v>73</v>
      </c>
      <c r="B26" t="s">
        <v>220</v>
      </c>
      <c r="C26" t="s">
        <v>15</v>
      </c>
      <c r="D26" t="s">
        <v>19</v>
      </c>
      <c r="E26">
        <v>0.64623607005015993</v>
      </c>
      <c r="F26">
        <v>0.63319238900634245</v>
      </c>
      <c r="G26">
        <v>0.63319238900634245</v>
      </c>
      <c r="H26" s="3">
        <v>0</v>
      </c>
      <c r="I26">
        <v>10.95696711540222</v>
      </c>
      <c r="J26">
        <v>110.3395547866821</v>
      </c>
      <c r="K26">
        <v>0.63319238900634378</v>
      </c>
      <c r="L26">
        <v>45.206307000000002</v>
      </c>
      <c r="M26">
        <v>571.38707499999998</v>
      </c>
      <c r="N26">
        <v>0.72413793103448276</v>
      </c>
      <c r="O26" t="s">
        <v>138</v>
      </c>
      <c r="P26" t="s">
        <v>139</v>
      </c>
    </row>
    <row r="27" spans="1:16">
      <c r="A27" s="1">
        <v>76</v>
      </c>
      <c r="B27" t="s">
        <v>221</v>
      </c>
      <c r="C27" t="s">
        <v>15</v>
      </c>
      <c r="D27" t="s">
        <v>19</v>
      </c>
      <c r="E27">
        <v>0.4162940347441545</v>
      </c>
      <c r="F27">
        <v>0.41296687808315719</v>
      </c>
      <c r="G27">
        <v>0.41349541930937278</v>
      </c>
      <c r="H27" s="3">
        <v>0.12782275244992411</v>
      </c>
      <c r="I27">
        <v>20.29449200630188</v>
      </c>
      <c r="J27">
        <v>98.855041980743408</v>
      </c>
      <c r="K27">
        <v>0.41349541930936479</v>
      </c>
      <c r="L27">
        <v>111.53315600000001</v>
      </c>
      <c r="M27">
        <v>519.45569499999999</v>
      </c>
      <c r="N27">
        <v>0.8666666666666667</v>
      </c>
      <c r="O27" t="s">
        <v>144</v>
      </c>
      <c r="P27" t="s">
        <v>145</v>
      </c>
    </row>
    <row r="28" spans="1:16">
      <c r="A28" s="1">
        <v>79</v>
      </c>
      <c r="B28" t="s">
        <v>222</v>
      </c>
      <c r="C28" t="s">
        <v>15</v>
      </c>
      <c r="D28" t="s">
        <v>19</v>
      </c>
      <c r="E28">
        <v>0.62933238581721007</v>
      </c>
      <c r="F28">
        <v>0.65556730091613824</v>
      </c>
      <c r="G28">
        <v>0.65556730091613824</v>
      </c>
      <c r="H28" s="3">
        <v>0</v>
      </c>
      <c r="I28">
        <v>21.483750104904171</v>
      </c>
      <c r="J28">
        <v>175.72520422935489</v>
      </c>
      <c r="K28">
        <v>0.65556730091614224</v>
      </c>
      <c r="L28">
        <v>61.246153999999997</v>
      </c>
      <c r="M28">
        <v>411.15699000000001</v>
      </c>
      <c r="N28">
        <v>0.80555555555555558</v>
      </c>
      <c r="O28" t="s">
        <v>150</v>
      </c>
      <c r="P28" t="s">
        <v>151</v>
      </c>
    </row>
    <row r="29" spans="1:16">
      <c r="A29" s="1">
        <v>82</v>
      </c>
      <c r="B29" t="s">
        <v>223</v>
      </c>
      <c r="C29" t="s">
        <v>15</v>
      </c>
      <c r="D29" t="s">
        <v>19</v>
      </c>
      <c r="E29">
        <v>0.6618653901229512</v>
      </c>
      <c r="F29">
        <v>0.65662438336856932</v>
      </c>
      <c r="G29">
        <v>0.65662438336856932</v>
      </c>
      <c r="H29" s="3">
        <v>0</v>
      </c>
      <c r="I29">
        <v>16.986816883087162</v>
      </c>
      <c r="J29">
        <v>98.044370651245117</v>
      </c>
      <c r="K29">
        <v>0.65662438336857398</v>
      </c>
      <c r="L29">
        <v>44.705460000000002</v>
      </c>
      <c r="M29">
        <v>388.55621400000001</v>
      </c>
      <c r="N29">
        <v>0.8125</v>
      </c>
      <c r="O29" t="s">
        <v>154</v>
      </c>
      <c r="P29" t="s">
        <v>156</v>
      </c>
    </row>
    <row r="30" spans="1:16">
      <c r="A30" s="1">
        <v>85</v>
      </c>
      <c r="B30" t="s">
        <v>224</v>
      </c>
      <c r="C30" t="s">
        <v>15</v>
      </c>
      <c r="D30" t="s">
        <v>19</v>
      </c>
      <c r="E30">
        <v>0.59422093149850141</v>
      </c>
      <c r="F30">
        <v>0.63072586328400282</v>
      </c>
      <c r="G30">
        <v>0.63072586328400282</v>
      </c>
      <c r="H30" s="3">
        <v>0</v>
      </c>
      <c r="I30">
        <v>14.270527839660639</v>
      </c>
      <c r="J30">
        <v>89.479946136474609</v>
      </c>
      <c r="K30">
        <v>0.63072586328400337</v>
      </c>
      <c r="L30">
        <v>58.288559999999997</v>
      </c>
      <c r="M30">
        <v>395.07164899999998</v>
      </c>
      <c r="N30">
        <v>0.88235294117647056</v>
      </c>
      <c r="O30" t="s">
        <v>160</v>
      </c>
      <c r="P30" t="s">
        <v>161</v>
      </c>
    </row>
    <row r="31" spans="1:16">
      <c r="A31" s="1">
        <v>88</v>
      </c>
      <c r="B31" t="s">
        <v>225</v>
      </c>
      <c r="C31" t="s">
        <v>15</v>
      </c>
      <c r="D31" t="s">
        <v>19</v>
      </c>
      <c r="E31">
        <v>0.67217820702596209</v>
      </c>
      <c r="F31">
        <v>0.65768146582100073</v>
      </c>
      <c r="G31">
        <v>0.65768146582100073</v>
      </c>
      <c r="H31" s="3">
        <v>0</v>
      </c>
      <c r="I31">
        <v>44.359968900680542</v>
      </c>
      <c r="J31">
        <v>95.726741075515747</v>
      </c>
      <c r="K31">
        <v>0.6576814658210054</v>
      </c>
      <c r="L31">
        <v>40.681139000000002</v>
      </c>
      <c r="M31">
        <v>431.74331599999999</v>
      </c>
      <c r="N31">
        <v>0.76</v>
      </c>
      <c r="O31" t="s">
        <v>164</v>
      </c>
      <c r="P31" t="s">
        <v>166</v>
      </c>
    </row>
    <row r="32" spans="1:16">
      <c r="A32" s="1">
        <v>91</v>
      </c>
      <c r="B32" t="s">
        <v>226</v>
      </c>
      <c r="C32" t="s">
        <v>15</v>
      </c>
      <c r="D32" t="s">
        <v>19</v>
      </c>
      <c r="E32">
        <v>0.6783090837001744</v>
      </c>
      <c r="F32">
        <v>0.65539112050739956</v>
      </c>
      <c r="G32">
        <v>0.65539112050739956</v>
      </c>
      <c r="H32" s="3">
        <v>0</v>
      </c>
      <c r="I32">
        <v>6.1208431720733643</v>
      </c>
      <c r="J32">
        <v>104.3574867248535</v>
      </c>
      <c r="K32">
        <v>0.65539112050740367</v>
      </c>
      <c r="L32">
        <v>43.316273000000002</v>
      </c>
      <c r="M32">
        <v>417.89945399999999</v>
      </c>
      <c r="N32">
        <v>0.75</v>
      </c>
      <c r="O32" t="s">
        <v>170</v>
      </c>
      <c r="P32" t="s">
        <v>171</v>
      </c>
    </row>
    <row r="33" spans="1:16">
      <c r="A33" s="1">
        <v>94</v>
      </c>
      <c r="B33" t="s">
        <v>227</v>
      </c>
      <c r="C33" t="s">
        <v>15</v>
      </c>
      <c r="D33" t="s">
        <v>19</v>
      </c>
      <c r="E33">
        <v>0.6840780114160987</v>
      </c>
      <c r="F33">
        <v>0.64349894291754761</v>
      </c>
      <c r="G33">
        <v>0.64358703312191679</v>
      </c>
      <c r="H33" s="3">
        <v>1.3687380235407283E-2</v>
      </c>
      <c r="I33">
        <v>8.2879629135131836</v>
      </c>
      <c r="J33">
        <v>103.4318528175354</v>
      </c>
      <c r="K33">
        <v>0.64358703312191701</v>
      </c>
      <c r="L33">
        <v>55.519449000000002</v>
      </c>
      <c r="M33">
        <v>424.16030999999998</v>
      </c>
      <c r="N33">
        <v>0.70370370370370372</v>
      </c>
      <c r="O33" t="s">
        <v>175</v>
      </c>
      <c r="P33" t="s">
        <v>176</v>
      </c>
    </row>
    <row r="34" spans="1:16">
      <c r="A34" s="1">
        <v>97</v>
      </c>
      <c r="B34" t="s">
        <v>228</v>
      </c>
      <c r="C34" t="s">
        <v>15</v>
      </c>
      <c r="D34" t="s">
        <v>19</v>
      </c>
      <c r="E34">
        <v>0.41481882188103758</v>
      </c>
      <c r="F34">
        <v>0.40283650458069059</v>
      </c>
      <c r="G34">
        <v>0.41279069767441862</v>
      </c>
      <c r="H34" s="3">
        <v>2.4114383269312962</v>
      </c>
      <c r="I34">
        <v>19.25019812583923</v>
      </c>
      <c r="J34">
        <v>115.72535490989689</v>
      </c>
      <c r="K34">
        <v>0.41279069767441878</v>
      </c>
      <c r="L34">
        <v>97.713830000000002</v>
      </c>
      <c r="M34">
        <v>394.244236</v>
      </c>
      <c r="N34">
        <v>0.8</v>
      </c>
      <c r="O34" t="s">
        <v>181</v>
      </c>
      <c r="P34" t="s">
        <v>182</v>
      </c>
    </row>
    <row r="35" spans="1:16">
      <c r="A35" s="1">
        <v>100</v>
      </c>
      <c r="B35" t="s">
        <v>229</v>
      </c>
      <c r="C35" t="s">
        <v>15</v>
      </c>
      <c r="D35" t="s">
        <v>19</v>
      </c>
      <c r="E35">
        <v>0.60172491486576274</v>
      </c>
      <c r="F35">
        <v>0.5900281888653981</v>
      </c>
      <c r="G35">
        <v>0.5900281888653981</v>
      </c>
      <c r="H35" s="3">
        <v>0</v>
      </c>
      <c r="I35">
        <v>25.589439868926998</v>
      </c>
      <c r="J35">
        <v>92.211967468261719</v>
      </c>
      <c r="K35">
        <v>0.59002818886539055</v>
      </c>
      <c r="L35">
        <v>53.746122</v>
      </c>
      <c r="M35">
        <v>367.80238500000002</v>
      </c>
      <c r="N35">
        <v>0.82499999999999996</v>
      </c>
      <c r="O35" t="s">
        <v>187</v>
      </c>
      <c r="P35" t="s">
        <v>188</v>
      </c>
    </row>
    <row r="36" spans="1:16">
      <c r="A36" s="1">
        <v>103</v>
      </c>
      <c r="B36" t="s">
        <v>230</v>
      </c>
      <c r="C36" t="s">
        <v>15</v>
      </c>
      <c r="D36" t="s">
        <v>19</v>
      </c>
      <c r="E36">
        <v>0.60013715995067041</v>
      </c>
      <c r="F36">
        <v>0.62508809020436917</v>
      </c>
      <c r="G36">
        <v>0.62526427061310785</v>
      </c>
      <c r="H36" s="3">
        <v>2.8176951253895365E-2</v>
      </c>
      <c r="I36">
        <v>23.23439788818359</v>
      </c>
      <c r="J36">
        <v>91.600391387939453</v>
      </c>
      <c r="K36">
        <v>0.62526427061310752</v>
      </c>
      <c r="L36">
        <v>54.466127999999998</v>
      </c>
      <c r="M36">
        <v>377.47987499999999</v>
      </c>
      <c r="N36">
        <v>0.87804878048780488</v>
      </c>
      <c r="O36" t="s">
        <v>192</v>
      </c>
      <c r="P36" t="s">
        <v>193</v>
      </c>
    </row>
    <row r="37" spans="1:16">
      <c r="G37" t="s">
        <v>236</v>
      </c>
      <c r="H37" s="1" t="s">
        <v>6</v>
      </c>
      <c r="I37" s="1" t="s">
        <v>7</v>
      </c>
      <c r="J37" s="1" t="s">
        <v>8</v>
      </c>
      <c r="K37" s="1" t="s">
        <v>9</v>
      </c>
      <c r="L37" s="1" t="s">
        <v>10</v>
      </c>
      <c r="M37" s="1" t="s">
        <v>11</v>
      </c>
      <c r="N37" s="1" t="s">
        <v>12</v>
      </c>
    </row>
    <row r="38" spans="1:16">
      <c r="G38" t="s">
        <v>232</v>
      </c>
      <c r="H38" s="3">
        <f>AVERAGE(H2:H36)</f>
        <v>0.18135131086788731</v>
      </c>
      <c r="I38" s="3">
        <f t="shared" ref="I38:N38" si="0">AVERAGE(I2:I36)</f>
        <v>19.37535035269601</v>
      </c>
      <c r="J38" s="3">
        <f t="shared" si="0"/>
        <v>110.27883654321943</v>
      </c>
      <c r="K38" s="3">
        <f t="shared" si="0"/>
        <v>0.55082553105808663</v>
      </c>
      <c r="L38" s="3">
        <f t="shared" si="0"/>
        <v>56.283602628571423</v>
      </c>
      <c r="M38" s="3">
        <f t="shared" si="0"/>
        <v>447.44217468571441</v>
      </c>
      <c r="N38" s="3">
        <f t="shared" si="0"/>
        <v>0.81389130440285562</v>
      </c>
    </row>
    <row r="39" spans="1:16">
      <c r="G39" t="s">
        <v>233</v>
      </c>
      <c r="H39" s="3">
        <f>STDEV(H2:H36)</f>
        <v>0.49910294165002045</v>
      </c>
      <c r="I39" s="3">
        <f t="shared" ref="I39:N39" si="1">STDEV(I2:I36)</f>
        <v>15.865667080457678</v>
      </c>
      <c r="J39" s="3">
        <f t="shared" si="1"/>
        <v>25.092003353446962</v>
      </c>
      <c r="K39" s="3">
        <f t="shared" si="1"/>
        <v>0.1130986817856152</v>
      </c>
      <c r="L39" s="3">
        <f t="shared" si="1"/>
        <v>16.884726769722302</v>
      </c>
      <c r="M39" s="3">
        <f t="shared" si="1"/>
        <v>71.215237521729946</v>
      </c>
      <c r="N39" s="3">
        <f t="shared" si="1"/>
        <v>9.0972925161873386E-2</v>
      </c>
    </row>
    <row r="40" spans="1:16">
      <c r="G40" t="s">
        <v>234</v>
      </c>
      <c r="H40" s="3">
        <f>MAX(H2:H36)</f>
        <v>2.4114383269312962</v>
      </c>
      <c r="I40" s="3">
        <f t="shared" ref="I40:N40" si="2">MAX(I2:I36)</f>
        <v>79.558164119720459</v>
      </c>
      <c r="J40" s="3">
        <f t="shared" si="2"/>
        <v>201.65899395942691</v>
      </c>
      <c r="K40" s="3">
        <f t="shared" si="2"/>
        <v>0.65785764622974396</v>
      </c>
      <c r="L40" s="3">
        <f t="shared" si="2"/>
        <v>111.53315600000001</v>
      </c>
      <c r="M40" s="3">
        <f t="shared" si="2"/>
        <v>577.26442799999995</v>
      </c>
      <c r="N40" s="3">
        <f t="shared" si="2"/>
        <v>1</v>
      </c>
    </row>
    <row r="41" spans="1:16">
      <c r="G41" t="s">
        <v>235</v>
      </c>
      <c r="H41" s="3">
        <f>MIN(H2:H36)</f>
        <v>0</v>
      </c>
      <c r="I41" s="3">
        <f t="shared" ref="I41:N41" si="3">MIN(I2:I36)</f>
        <v>6.0907638072967529</v>
      </c>
      <c r="J41" s="3">
        <f t="shared" si="3"/>
        <v>83.709509134292603</v>
      </c>
      <c r="K41" s="3">
        <f t="shared" si="3"/>
        <v>0.33091966173362081</v>
      </c>
      <c r="L41" s="3">
        <f t="shared" si="3"/>
        <v>31.227765000000002</v>
      </c>
      <c r="M41" s="3">
        <f t="shared" si="3"/>
        <v>365.94486599999999</v>
      </c>
      <c r="N41" s="3">
        <f t="shared" si="3"/>
        <v>0.65517241379310343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97715-3FFC-554B-9C68-226636F91895}">
  <dimension ref="A1:P41"/>
  <sheetViews>
    <sheetView topLeftCell="A9" workbookViewId="0">
      <selection activeCell="M43" sqref="M43"/>
    </sheetView>
  </sheetViews>
  <sheetFormatPr defaultColWidth="11.42578125"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2</v>
      </c>
      <c r="B2" t="s">
        <v>196</v>
      </c>
      <c r="C2" t="s">
        <v>15</v>
      </c>
      <c r="D2" t="s">
        <v>21</v>
      </c>
      <c r="E2">
        <v>0.58778400161457467</v>
      </c>
      <c r="F2">
        <v>0.57100070472163489</v>
      </c>
      <c r="G2">
        <v>0.57135306553911203</v>
      </c>
      <c r="H2" s="3">
        <v>6.1671292013574859E-2</v>
      </c>
      <c r="I2">
        <v>19.18231201171875</v>
      </c>
      <c r="J2">
        <v>118.57351493835451</v>
      </c>
      <c r="K2">
        <v>0.57135306553909893</v>
      </c>
      <c r="L2">
        <v>37.427601000000003</v>
      </c>
      <c r="M2">
        <v>407.302909</v>
      </c>
      <c r="N2">
        <v>0.7931034482758621</v>
      </c>
      <c r="O2" t="s">
        <v>17</v>
      </c>
      <c r="P2" t="s">
        <v>22</v>
      </c>
    </row>
    <row r="3" spans="1:16">
      <c r="A3" s="1">
        <v>5</v>
      </c>
      <c r="B3" t="s">
        <v>197</v>
      </c>
      <c r="C3" t="s">
        <v>15</v>
      </c>
      <c r="D3" t="s">
        <v>21</v>
      </c>
      <c r="E3">
        <v>0.59514522837732664</v>
      </c>
      <c r="F3">
        <v>0.57311486962649749</v>
      </c>
      <c r="G3">
        <v>0.57311486962649749</v>
      </c>
      <c r="H3" s="3">
        <v>0</v>
      </c>
      <c r="I3">
        <v>9.5142741203308105</v>
      </c>
      <c r="J3">
        <v>102.03928780555729</v>
      </c>
      <c r="K3">
        <v>0.57311486962648461</v>
      </c>
      <c r="L3">
        <v>49.922930000000001</v>
      </c>
      <c r="M3">
        <v>396.25804799999997</v>
      </c>
      <c r="N3">
        <v>0.83333333333333337</v>
      </c>
      <c r="O3" t="s">
        <v>27</v>
      </c>
      <c r="P3" t="s">
        <v>28</v>
      </c>
    </row>
    <row r="4" spans="1:16">
      <c r="A4" s="1">
        <v>8</v>
      </c>
      <c r="B4" t="s">
        <v>198</v>
      </c>
      <c r="C4" t="s">
        <v>15</v>
      </c>
      <c r="D4" t="s">
        <v>21</v>
      </c>
      <c r="E4">
        <v>0.58853554637277372</v>
      </c>
      <c r="F4">
        <v>0.57408386187455951</v>
      </c>
      <c r="G4">
        <v>0.57434813248766736</v>
      </c>
      <c r="H4" s="3">
        <v>4.6012269938655662E-2</v>
      </c>
      <c r="I4">
        <v>25.253007173538212</v>
      </c>
      <c r="J4">
        <v>91.404918909072876</v>
      </c>
      <c r="K4">
        <v>0.57434813248765237</v>
      </c>
      <c r="L4">
        <v>57.356923999999999</v>
      </c>
      <c r="M4">
        <v>399.49296800000002</v>
      </c>
      <c r="N4">
        <v>0.7142857142857143</v>
      </c>
      <c r="O4" t="s">
        <v>32</v>
      </c>
      <c r="P4" t="s">
        <v>33</v>
      </c>
    </row>
    <row r="5" spans="1:16">
      <c r="A5" s="1">
        <v>11</v>
      </c>
      <c r="B5" t="s">
        <v>199</v>
      </c>
      <c r="C5" t="s">
        <v>15</v>
      </c>
      <c r="D5" t="s">
        <v>21</v>
      </c>
      <c r="E5">
        <v>0.55078237223326576</v>
      </c>
      <c r="F5">
        <v>0.52924594785059897</v>
      </c>
      <c r="G5">
        <v>0.52924594785059897</v>
      </c>
      <c r="H5" s="3">
        <v>0</v>
      </c>
      <c r="I5">
        <v>8.4654808044433594</v>
      </c>
      <c r="J5">
        <v>104.2140181064606</v>
      </c>
      <c r="K5">
        <v>0.52924594785058099</v>
      </c>
      <c r="L5">
        <v>32.511254000000001</v>
      </c>
      <c r="M5">
        <v>394.894248</v>
      </c>
      <c r="N5">
        <v>0.67741935483870963</v>
      </c>
      <c r="O5" t="s">
        <v>34</v>
      </c>
      <c r="P5" t="s">
        <v>35</v>
      </c>
    </row>
    <row r="6" spans="1:16">
      <c r="A6" s="1">
        <v>14</v>
      </c>
      <c r="B6" t="s">
        <v>200</v>
      </c>
      <c r="C6" t="s">
        <v>15</v>
      </c>
      <c r="D6" t="s">
        <v>21</v>
      </c>
      <c r="E6">
        <v>0.62135469181363168</v>
      </c>
      <c r="F6">
        <v>0.60606060606060597</v>
      </c>
      <c r="G6">
        <v>0.60606060606060597</v>
      </c>
      <c r="H6" s="3">
        <v>0</v>
      </c>
      <c r="I6">
        <v>4.7712740898132324</v>
      </c>
      <c r="J6">
        <v>95.045179843902588</v>
      </c>
      <c r="K6">
        <v>0.60606060606059697</v>
      </c>
      <c r="L6">
        <v>41.417372999999998</v>
      </c>
      <c r="M6">
        <v>378.302436</v>
      </c>
      <c r="N6">
        <v>0.76190476190476186</v>
      </c>
      <c r="O6" t="s">
        <v>39</v>
      </c>
      <c r="P6" t="s">
        <v>40</v>
      </c>
    </row>
    <row r="7" spans="1:16">
      <c r="A7" s="1">
        <v>17</v>
      </c>
      <c r="B7" t="s">
        <v>201</v>
      </c>
      <c r="C7" t="s">
        <v>15</v>
      </c>
      <c r="D7" t="s">
        <v>21</v>
      </c>
      <c r="E7">
        <v>0.57513948219438182</v>
      </c>
      <c r="F7">
        <v>0.5704721634954194</v>
      </c>
      <c r="G7">
        <v>0.5704721634954194</v>
      </c>
      <c r="H7" s="3">
        <v>0</v>
      </c>
      <c r="I7">
        <v>18.42941784858704</v>
      </c>
      <c r="J7">
        <v>88.102715015411377</v>
      </c>
      <c r="K7">
        <v>0.57047216349540586</v>
      </c>
      <c r="L7">
        <v>44.368022000000003</v>
      </c>
      <c r="M7">
        <v>395.87896499999999</v>
      </c>
      <c r="N7">
        <v>0.74193548387096775</v>
      </c>
      <c r="O7" t="s">
        <v>45</v>
      </c>
      <c r="P7" t="s">
        <v>46</v>
      </c>
    </row>
    <row r="8" spans="1:16">
      <c r="A8" s="1">
        <v>20</v>
      </c>
      <c r="B8" t="s">
        <v>202</v>
      </c>
      <c r="C8" t="s">
        <v>15</v>
      </c>
      <c r="D8" t="s">
        <v>21</v>
      </c>
      <c r="E8">
        <v>0.60625541499694036</v>
      </c>
      <c r="F8">
        <v>0.60042283298097254</v>
      </c>
      <c r="G8">
        <v>0.600599013389711</v>
      </c>
      <c r="H8" s="3">
        <v>2.9334115576400303E-2</v>
      </c>
      <c r="I8">
        <v>6.8760449886322021</v>
      </c>
      <c r="J8">
        <v>111.61703014373779</v>
      </c>
      <c r="K8">
        <v>0.60059901338970134</v>
      </c>
      <c r="L8">
        <v>47.099204999999998</v>
      </c>
      <c r="M8">
        <v>365.94486599999999</v>
      </c>
      <c r="N8">
        <v>0.73076923076923073</v>
      </c>
      <c r="O8" t="s">
        <v>50</v>
      </c>
      <c r="P8" t="s">
        <v>51</v>
      </c>
    </row>
    <row r="9" spans="1:16">
      <c r="A9" s="1">
        <v>23</v>
      </c>
      <c r="B9" t="s">
        <v>203</v>
      </c>
      <c r="C9" t="s">
        <v>15</v>
      </c>
      <c r="D9" t="s">
        <v>21</v>
      </c>
      <c r="E9">
        <v>0.59196362297764926</v>
      </c>
      <c r="F9">
        <v>0.57716701902748413</v>
      </c>
      <c r="G9">
        <v>0.57716701902748413</v>
      </c>
      <c r="H9" s="3">
        <v>0</v>
      </c>
      <c r="I9">
        <v>13.862142086029049</v>
      </c>
      <c r="J9">
        <v>88.24916934967041</v>
      </c>
      <c r="K9">
        <v>0.57716701902747169</v>
      </c>
      <c r="L9">
        <v>46.073174000000002</v>
      </c>
      <c r="M9">
        <v>373.86964999999998</v>
      </c>
      <c r="N9">
        <v>0.76470588235294112</v>
      </c>
      <c r="O9" t="s">
        <v>56</v>
      </c>
      <c r="P9" t="s">
        <v>57</v>
      </c>
    </row>
    <row r="10" spans="1:16">
      <c r="A10" s="1">
        <v>26</v>
      </c>
      <c r="B10" t="s">
        <v>204</v>
      </c>
      <c r="C10" t="s">
        <v>15</v>
      </c>
      <c r="D10" t="s">
        <v>21</v>
      </c>
      <c r="E10">
        <v>0.6055520423496481</v>
      </c>
      <c r="F10">
        <v>0.59760394644115566</v>
      </c>
      <c r="G10">
        <v>0.59760394644115566</v>
      </c>
      <c r="H10" s="3">
        <v>0</v>
      </c>
      <c r="I10">
        <v>10.075088977813721</v>
      </c>
      <c r="J10">
        <v>83.709509134292603</v>
      </c>
      <c r="K10">
        <v>0.59760394644114567</v>
      </c>
      <c r="L10">
        <v>56.189821000000002</v>
      </c>
      <c r="M10">
        <v>377.51222799999999</v>
      </c>
      <c r="N10">
        <v>0.6428571428571429</v>
      </c>
      <c r="O10" t="s">
        <v>61</v>
      </c>
      <c r="P10" t="s">
        <v>62</v>
      </c>
    </row>
    <row r="11" spans="1:16">
      <c r="A11" s="1">
        <v>29</v>
      </c>
      <c r="B11" t="s">
        <v>205</v>
      </c>
      <c r="C11" t="s">
        <v>15</v>
      </c>
      <c r="D11" t="s">
        <v>21</v>
      </c>
      <c r="E11">
        <v>0.60696001918182452</v>
      </c>
      <c r="F11">
        <v>0.59883720930232553</v>
      </c>
      <c r="G11">
        <v>0.5990133897110641</v>
      </c>
      <c r="H11" s="3">
        <v>2.9411764705885777E-2</v>
      </c>
      <c r="I11">
        <v>8.7476799488067627</v>
      </c>
      <c r="J11">
        <v>93.919439792633057</v>
      </c>
      <c r="K11">
        <v>0.59901338971105422</v>
      </c>
      <c r="L11">
        <v>49.526848000000001</v>
      </c>
      <c r="M11">
        <v>369.40720199999998</v>
      </c>
      <c r="N11">
        <v>0.81818181818181823</v>
      </c>
      <c r="O11" t="s">
        <v>67</v>
      </c>
      <c r="P11" t="s">
        <v>68</v>
      </c>
    </row>
    <row r="12" spans="1:16">
      <c r="A12" s="1">
        <v>32</v>
      </c>
      <c r="B12" t="s">
        <v>206</v>
      </c>
      <c r="C12" t="s">
        <v>15</v>
      </c>
      <c r="D12" t="s">
        <v>21</v>
      </c>
      <c r="E12">
        <v>0.53118171162407246</v>
      </c>
      <c r="F12">
        <v>0.53268146582100062</v>
      </c>
      <c r="G12">
        <v>0.53294573643410859</v>
      </c>
      <c r="H12" s="3">
        <v>4.958677685953073E-2</v>
      </c>
      <c r="I12">
        <v>9.460561990737915</v>
      </c>
      <c r="J12">
        <v>109.1506240367889</v>
      </c>
      <c r="K12">
        <v>0.53294573643409093</v>
      </c>
      <c r="L12">
        <v>50.045760000000001</v>
      </c>
      <c r="M12">
        <v>414.60107499999998</v>
      </c>
      <c r="N12">
        <v>0.88</v>
      </c>
      <c r="O12" t="s">
        <v>72</v>
      </c>
      <c r="P12" t="s">
        <v>73</v>
      </c>
    </row>
    <row r="13" spans="1:16">
      <c r="A13" s="1">
        <v>35</v>
      </c>
      <c r="B13" t="s">
        <v>207</v>
      </c>
      <c r="C13" t="s">
        <v>15</v>
      </c>
      <c r="D13" t="s">
        <v>21</v>
      </c>
      <c r="E13">
        <v>0.5059242715318264</v>
      </c>
      <c r="F13">
        <v>0.49365750528541219</v>
      </c>
      <c r="G13">
        <v>0.49365750528541219</v>
      </c>
      <c r="H13" s="3">
        <v>0</v>
      </c>
      <c r="I13">
        <v>21.497052192687988</v>
      </c>
      <c r="J13">
        <v>92.079463243484497</v>
      </c>
      <c r="K13">
        <v>0.4936575052853957</v>
      </c>
      <c r="L13">
        <v>59.276812999999997</v>
      </c>
      <c r="M13">
        <v>439.11139300000002</v>
      </c>
      <c r="N13">
        <v>0.81818181818181823</v>
      </c>
      <c r="O13" t="s">
        <v>78</v>
      </c>
      <c r="P13" t="s">
        <v>79</v>
      </c>
    </row>
    <row r="14" spans="1:16">
      <c r="A14" s="1">
        <v>38</v>
      </c>
      <c r="B14" t="s">
        <v>208</v>
      </c>
      <c r="C14" t="s">
        <v>15</v>
      </c>
      <c r="D14" t="s">
        <v>21</v>
      </c>
      <c r="E14">
        <v>0.50083023878703803</v>
      </c>
      <c r="F14">
        <v>0.48661028893587033</v>
      </c>
      <c r="G14">
        <v>0.48661028893587033</v>
      </c>
      <c r="H14" s="3">
        <v>0</v>
      </c>
      <c r="I14">
        <v>14.37589693069458</v>
      </c>
      <c r="J14">
        <v>103.36076903343201</v>
      </c>
      <c r="K14">
        <v>0.48661028893585517</v>
      </c>
      <c r="L14">
        <v>53.523882999999998</v>
      </c>
      <c r="M14">
        <v>571.013824</v>
      </c>
      <c r="N14">
        <v>0.78787878787878785</v>
      </c>
      <c r="O14" t="s">
        <v>83</v>
      </c>
      <c r="P14" t="s">
        <v>84</v>
      </c>
    </row>
    <row r="15" spans="1:16">
      <c r="A15" s="1">
        <v>41</v>
      </c>
      <c r="B15" t="s">
        <v>209</v>
      </c>
      <c r="C15" t="s">
        <v>15</v>
      </c>
      <c r="D15" t="s">
        <v>21</v>
      </c>
      <c r="E15">
        <v>0.50717190098091813</v>
      </c>
      <c r="F15">
        <v>0.49744538407329109</v>
      </c>
      <c r="G15">
        <v>0.51541578576462288</v>
      </c>
      <c r="H15" s="3">
        <v>3.4865834900016845</v>
      </c>
      <c r="I15">
        <v>30.93433403968811</v>
      </c>
      <c r="J15">
        <v>108.88965702056881</v>
      </c>
      <c r="K15">
        <v>0.51541578576460856</v>
      </c>
      <c r="L15">
        <v>65.023691999999997</v>
      </c>
      <c r="M15">
        <v>548.25267099999996</v>
      </c>
      <c r="N15">
        <v>0.8666666666666667</v>
      </c>
      <c r="O15" t="s">
        <v>87</v>
      </c>
      <c r="P15" t="s">
        <v>88</v>
      </c>
    </row>
    <row r="16" spans="1:16">
      <c r="A16" s="1">
        <v>44</v>
      </c>
      <c r="B16" t="s">
        <v>210</v>
      </c>
      <c r="C16" t="s">
        <v>15</v>
      </c>
      <c r="D16" t="s">
        <v>21</v>
      </c>
      <c r="E16">
        <v>0.62340665864156997</v>
      </c>
      <c r="F16">
        <v>0.60623678646934465</v>
      </c>
      <c r="G16">
        <v>0.60623678646934465</v>
      </c>
      <c r="H16" s="3">
        <v>0</v>
      </c>
      <c r="I16">
        <v>6.3882889747619629</v>
      </c>
      <c r="J16">
        <v>108.8407571315765</v>
      </c>
      <c r="K16">
        <v>0.60623678646933554</v>
      </c>
      <c r="L16">
        <v>44.014009000000001</v>
      </c>
      <c r="M16">
        <v>459.45757400000002</v>
      </c>
      <c r="N16">
        <v>0.625</v>
      </c>
      <c r="O16" t="s">
        <v>90</v>
      </c>
      <c r="P16" t="s">
        <v>92</v>
      </c>
    </row>
    <row r="17" spans="1:16">
      <c r="A17" s="1">
        <v>47</v>
      </c>
      <c r="B17" t="s">
        <v>211</v>
      </c>
      <c r="C17" t="s">
        <v>15</v>
      </c>
      <c r="D17" t="s">
        <v>21</v>
      </c>
      <c r="E17">
        <v>0.49338533238562199</v>
      </c>
      <c r="F17">
        <v>0.49374559548978147</v>
      </c>
      <c r="G17">
        <v>0.50977801268498946</v>
      </c>
      <c r="H17" s="3">
        <v>3.1449801278728358</v>
      </c>
      <c r="I17">
        <v>11.71450805664062</v>
      </c>
      <c r="J17">
        <v>150.93432974815369</v>
      </c>
      <c r="K17">
        <v>0.50977801268497591</v>
      </c>
      <c r="L17">
        <v>64.820757</v>
      </c>
      <c r="M17">
        <v>517.11269100000004</v>
      </c>
      <c r="N17">
        <v>0.84615384615384615</v>
      </c>
      <c r="O17" t="s">
        <v>96</v>
      </c>
      <c r="P17" t="s">
        <v>97</v>
      </c>
    </row>
    <row r="18" spans="1:16">
      <c r="A18" s="1">
        <v>50</v>
      </c>
      <c r="B18" t="s">
        <v>212</v>
      </c>
      <c r="C18" t="s">
        <v>15</v>
      </c>
      <c r="D18" t="s">
        <v>21</v>
      </c>
      <c r="E18">
        <v>0.50296309291713415</v>
      </c>
      <c r="F18">
        <v>0.48854827343199431</v>
      </c>
      <c r="G18">
        <v>0.48872445384073288</v>
      </c>
      <c r="H18" s="3">
        <v>3.6049026676283936E-2</v>
      </c>
      <c r="I18">
        <v>15.79514312744141</v>
      </c>
      <c r="J18">
        <v>112.42712736129759</v>
      </c>
      <c r="K18">
        <v>0.48872445384071689</v>
      </c>
      <c r="L18">
        <v>55.525573999999999</v>
      </c>
      <c r="M18">
        <v>452.08693799999998</v>
      </c>
      <c r="N18">
        <v>0.87096774193548387</v>
      </c>
      <c r="O18" t="s">
        <v>102</v>
      </c>
      <c r="P18" t="s">
        <v>103</v>
      </c>
    </row>
    <row r="19" spans="1:16">
      <c r="A19" s="1">
        <v>53</v>
      </c>
      <c r="B19" t="s">
        <v>213</v>
      </c>
      <c r="C19" t="s">
        <v>15</v>
      </c>
      <c r="D19" t="s">
        <v>21</v>
      </c>
      <c r="E19">
        <v>0.49039925516649752</v>
      </c>
      <c r="F19">
        <v>0.48185341789992953</v>
      </c>
      <c r="G19">
        <v>0.48264622973925297</v>
      </c>
      <c r="H19" s="3">
        <v>0.16426355174301491</v>
      </c>
      <c r="I19">
        <v>17.451100826263431</v>
      </c>
      <c r="J19">
        <v>109.6335117816925</v>
      </c>
      <c r="K19">
        <v>0.48264622973924493</v>
      </c>
      <c r="L19">
        <v>92.872411999999997</v>
      </c>
      <c r="M19">
        <v>550.76449100000002</v>
      </c>
      <c r="N19">
        <v>0.84615384615384615</v>
      </c>
      <c r="O19" t="s">
        <v>106</v>
      </c>
      <c r="P19" t="s">
        <v>107</v>
      </c>
    </row>
    <row r="20" spans="1:16">
      <c r="A20" s="1">
        <v>56</v>
      </c>
      <c r="B20" t="s">
        <v>214</v>
      </c>
      <c r="C20" t="s">
        <v>15</v>
      </c>
      <c r="D20" t="s">
        <v>21</v>
      </c>
      <c r="E20">
        <v>0.57125092673347178</v>
      </c>
      <c r="F20">
        <v>0.55214940098661025</v>
      </c>
      <c r="G20">
        <v>0.55214940098661025</v>
      </c>
      <c r="H20" s="3">
        <v>0</v>
      </c>
      <c r="I20">
        <v>16.834916114807129</v>
      </c>
      <c r="J20">
        <v>201.65899395942691</v>
      </c>
      <c r="K20">
        <v>0.55214940098659493</v>
      </c>
      <c r="L20">
        <v>54.352294999999998</v>
      </c>
      <c r="M20">
        <v>539.99480200000005</v>
      </c>
      <c r="N20">
        <v>0.82857142857142863</v>
      </c>
      <c r="O20" t="s">
        <v>111</v>
      </c>
      <c r="P20" t="s">
        <v>112</v>
      </c>
    </row>
    <row r="21" spans="1:16">
      <c r="A21" s="1">
        <v>59</v>
      </c>
      <c r="B21" t="s">
        <v>215</v>
      </c>
      <c r="C21" t="s">
        <v>15</v>
      </c>
      <c r="D21" t="s">
        <v>21</v>
      </c>
      <c r="E21">
        <v>0.506449267698178</v>
      </c>
      <c r="F21">
        <v>0.48608174770965468</v>
      </c>
      <c r="G21">
        <v>0.5015856236786469</v>
      </c>
      <c r="H21" s="3">
        <v>3.0909729539866473</v>
      </c>
      <c r="I21">
        <v>11.41124391555786</v>
      </c>
      <c r="J21">
        <v>117.70892238616941</v>
      </c>
      <c r="K21">
        <v>0.5015856236786338</v>
      </c>
      <c r="L21">
        <v>61.193494999999999</v>
      </c>
      <c r="M21">
        <v>577.26442799999995</v>
      </c>
      <c r="N21">
        <v>0.70370370370370372</v>
      </c>
      <c r="O21" t="s">
        <v>116</v>
      </c>
      <c r="P21" t="s">
        <v>117</v>
      </c>
    </row>
    <row r="22" spans="1:16">
      <c r="A22" s="1">
        <v>62</v>
      </c>
      <c r="B22" t="s">
        <v>216</v>
      </c>
      <c r="C22" t="s">
        <v>15</v>
      </c>
      <c r="D22" t="s">
        <v>21</v>
      </c>
      <c r="E22">
        <v>0.5141329432143954</v>
      </c>
      <c r="F22">
        <v>0.50546159267089497</v>
      </c>
      <c r="G22">
        <v>0.50695912614517269</v>
      </c>
      <c r="H22" s="3">
        <v>0.29539530842746686</v>
      </c>
      <c r="I22">
        <v>24.411149978637699</v>
      </c>
      <c r="J22">
        <v>154.35059809684751</v>
      </c>
      <c r="K22">
        <v>0.50695912614516203</v>
      </c>
      <c r="L22">
        <v>55.389361000000001</v>
      </c>
      <c r="M22">
        <v>467.62151</v>
      </c>
      <c r="N22">
        <v>0.89473684210526316</v>
      </c>
      <c r="O22" t="s">
        <v>122</v>
      </c>
      <c r="P22" t="s">
        <v>123</v>
      </c>
    </row>
    <row r="23" spans="1:16">
      <c r="A23" s="1">
        <v>65</v>
      </c>
      <c r="B23" t="s">
        <v>217</v>
      </c>
      <c r="C23" t="s">
        <v>15</v>
      </c>
      <c r="D23" t="s">
        <v>21</v>
      </c>
      <c r="E23">
        <v>0.5197610660616685</v>
      </c>
      <c r="F23">
        <v>0.5068710359408034</v>
      </c>
      <c r="G23">
        <v>0.5068710359408034</v>
      </c>
      <c r="H23" s="3">
        <v>0</v>
      </c>
      <c r="I23">
        <v>21.888174057006839</v>
      </c>
      <c r="J23">
        <v>101.223935842514</v>
      </c>
      <c r="K23">
        <v>0.50687103594079297</v>
      </c>
      <c r="L23">
        <v>86.797301000000004</v>
      </c>
      <c r="M23">
        <v>472.44138700000002</v>
      </c>
      <c r="N23">
        <v>0.84615384615384615</v>
      </c>
      <c r="O23" t="s">
        <v>126</v>
      </c>
      <c r="P23" t="s">
        <v>127</v>
      </c>
    </row>
    <row r="24" spans="1:16">
      <c r="A24" s="1">
        <v>68</v>
      </c>
      <c r="B24" t="s">
        <v>218</v>
      </c>
      <c r="C24" t="s">
        <v>15</v>
      </c>
      <c r="D24" t="s">
        <v>21</v>
      </c>
      <c r="E24">
        <v>0.58814744170560807</v>
      </c>
      <c r="F24">
        <v>0.59090909090909094</v>
      </c>
      <c r="G24">
        <v>0.59143763213530653</v>
      </c>
      <c r="H24" s="3">
        <v>8.9365504915094401E-2</v>
      </c>
      <c r="I24">
        <v>6.8660330772399902</v>
      </c>
      <c r="J24">
        <v>125.21343946456911</v>
      </c>
      <c r="K24">
        <v>0.59143763213529577</v>
      </c>
      <c r="L24">
        <v>81.277653000000001</v>
      </c>
      <c r="M24">
        <v>530.23883599999999</v>
      </c>
      <c r="N24">
        <v>0.88</v>
      </c>
      <c r="O24" t="s">
        <v>131</v>
      </c>
      <c r="P24" t="s">
        <v>132</v>
      </c>
    </row>
    <row r="25" spans="1:16">
      <c r="A25" s="1">
        <v>71</v>
      </c>
      <c r="B25" t="s">
        <v>219</v>
      </c>
      <c r="C25" t="s">
        <v>15</v>
      </c>
      <c r="D25" t="s">
        <v>21</v>
      </c>
      <c r="E25">
        <v>0.61866983879168569</v>
      </c>
      <c r="F25">
        <v>0.60658914728682178</v>
      </c>
      <c r="G25">
        <v>0.60658914728682178</v>
      </c>
      <c r="H25" s="3">
        <v>0</v>
      </c>
      <c r="I25">
        <v>14.960518836975099</v>
      </c>
      <c r="J25">
        <v>111.91445469856259</v>
      </c>
      <c r="K25">
        <v>0.60658914728681268</v>
      </c>
      <c r="L25">
        <v>59.769705000000002</v>
      </c>
      <c r="M25">
        <v>562.69377499999996</v>
      </c>
      <c r="N25">
        <v>0.75</v>
      </c>
      <c r="O25" t="s">
        <v>136</v>
      </c>
      <c r="P25" t="s">
        <v>137</v>
      </c>
    </row>
    <row r="26" spans="1:16">
      <c r="A26" s="1">
        <v>74</v>
      </c>
      <c r="B26" t="s">
        <v>220</v>
      </c>
      <c r="C26" t="s">
        <v>15</v>
      </c>
      <c r="D26" t="s">
        <v>21</v>
      </c>
      <c r="E26">
        <v>0.56192601113054241</v>
      </c>
      <c r="F26">
        <v>0.56025369978858353</v>
      </c>
      <c r="G26">
        <v>0.56042988019732209</v>
      </c>
      <c r="H26" s="3">
        <v>3.1436655139896769E-2</v>
      </c>
      <c r="I26">
        <v>20.482583045959469</v>
      </c>
      <c r="J26">
        <v>110.3395547866821</v>
      </c>
      <c r="K26">
        <v>0.56042988019730766</v>
      </c>
      <c r="L26">
        <v>44.158709000000002</v>
      </c>
      <c r="M26">
        <v>571.38707499999998</v>
      </c>
      <c r="N26">
        <v>0.70967741935483875</v>
      </c>
      <c r="O26" t="s">
        <v>140</v>
      </c>
      <c r="P26" t="s">
        <v>141</v>
      </c>
    </row>
    <row r="27" spans="1:16">
      <c r="A27" s="1">
        <v>77</v>
      </c>
      <c r="B27" t="s">
        <v>221</v>
      </c>
      <c r="C27" t="s">
        <v>15</v>
      </c>
      <c r="D27" t="s">
        <v>21</v>
      </c>
      <c r="E27">
        <v>0.61090474655515226</v>
      </c>
      <c r="F27">
        <v>0.60852713178294582</v>
      </c>
      <c r="G27">
        <v>0.60870331219168428</v>
      </c>
      <c r="H27" s="3">
        <v>2.8943560057872249E-2</v>
      </c>
      <c r="I27">
        <v>24.639715909957889</v>
      </c>
      <c r="J27">
        <v>98.855041980743408</v>
      </c>
      <c r="K27">
        <v>0.60870331219167551</v>
      </c>
      <c r="L27">
        <v>127.36243399999999</v>
      </c>
      <c r="M27">
        <v>519.45569499999999</v>
      </c>
      <c r="N27">
        <v>0.76666666666666672</v>
      </c>
      <c r="O27" t="s">
        <v>146</v>
      </c>
      <c r="P27" t="s">
        <v>147</v>
      </c>
    </row>
    <row r="28" spans="1:16">
      <c r="A28" s="1">
        <v>80</v>
      </c>
      <c r="B28" t="s">
        <v>222</v>
      </c>
      <c r="C28" t="s">
        <v>15</v>
      </c>
      <c r="D28" t="s">
        <v>21</v>
      </c>
      <c r="E28">
        <v>0.50214069946696305</v>
      </c>
      <c r="F28">
        <v>0.495507399577167</v>
      </c>
      <c r="G28">
        <v>0.49621212121212122</v>
      </c>
      <c r="H28" s="3">
        <v>0.1420202378839038</v>
      </c>
      <c r="I28">
        <v>25.027683019638062</v>
      </c>
      <c r="J28">
        <v>175.72520422935489</v>
      </c>
      <c r="K28">
        <v>0.49621212121210773</v>
      </c>
      <c r="L28">
        <v>57.909230999999998</v>
      </c>
      <c r="M28">
        <v>411.15699000000001</v>
      </c>
      <c r="N28">
        <v>0.87878787878787878</v>
      </c>
      <c r="O28" t="s">
        <v>152</v>
      </c>
      <c r="P28" t="s">
        <v>153</v>
      </c>
    </row>
    <row r="29" spans="1:16">
      <c r="A29" s="1">
        <v>83</v>
      </c>
      <c r="B29" t="s">
        <v>223</v>
      </c>
      <c r="C29" t="s">
        <v>15</v>
      </c>
      <c r="D29" t="s">
        <v>21</v>
      </c>
      <c r="E29">
        <v>0.55174410978330157</v>
      </c>
      <c r="F29">
        <v>0.56069415081042995</v>
      </c>
      <c r="G29">
        <v>0.56183932346723042</v>
      </c>
      <c r="H29" s="3">
        <v>0.20382565067417674</v>
      </c>
      <c r="I29">
        <v>46.026676893234253</v>
      </c>
      <c r="J29">
        <v>98.044370651245117</v>
      </c>
      <c r="K29">
        <v>0.56183932346721466</v>
      </c>
      <c r="L29">
        <v>73.976595000000003</v>
      </c>
      <c r="M29">
        <v>388.55621400000001</v>
      </c>
      <c r="N29">
        <v>0.94594594594594594</v>
      </c>
      <c r="O29" t="s">
        <v>157</v>
      </c>
      <c r="P29" t="s">
        <v>158</v>
      </c>
    </row>
    <row r="30" spans="1:16">
      <c r="A30" s="1">
        <v>86</v>
      </c>
      <c r="B30" t="s">
        <v>224</v>
      </c>
      <c r="C30" t="s">
        <v>15</v>
      </c>
      <c r="D30" t="s">
        <v>21</v>
      </c>
      <c r="E30">
        <v>0.49892010715723328</v>
      </c>
      <c r="F30">
        <v>0.48731501057082449</v>
      </c>
      <c r="G30">
        <v>0.48731501057082449</v>
      </c>
      <c r="H30" s="3">
        <v>0</v>
      </c>
      <c r="I30">
        <v>15.10777807235718</v>
      </c>
      <c r="J30">
        <v>89.479946136474609</v>
      </c>
      <c r="K30">
        <v>0.48731501057081039</v>
      </c>
      <c r="L30">
        <v>46.484794999999998</v>
      </c>
      <c r="M30">
        <v>395.07164899999998</v>
      </c>
      <c r="N30">
        <v>0.88888888888888884</v>
      </c>
      <c r="O30" t="s">
        <v>162</v>
      </c>
      <c r="P30" t="s">
        <v>163</v>
      </c>
    </row>
    <row r="31" spans="1:16">
      <c r="A31" s="1">
        <v>89</v>
      </c>
      <c r="B31" t="s">
        <v>225</v>
      </c>
      <c r="C31" t="s">
        <v>15</v>
      </c>
      <c r="D31" t="s">
        <v>21</v>
      </c>
      <c r="E31">
        <v>0.54422295844128632</v>
      </c>
      <c r="F31">
        <v>0.52323819591261456</v>
      </c>
      <c r="G31">
        <v>0.52866455250176181</v>
      </c>
      <c r="H31" s="3">
        <v>1.0264271669943614</v>
      </c>
      <c r="I31">
        <v>9.0222508907318115</v>
      </c>
      <c r="J31">
        <v>95.726741075515747</v>
      </c>
      <c r="K31">
        <v>0.52866455250174393</v>
      </c>
      <c r="L31">
        <v>57.524639999999998</v>
      </c>
      <c r="M31">
        <v>431.74331599999999</v>
      </c>
      <c r="N31">
        <v>0.76923076923076927</v>
      </c>
      <c r="O31" t="s">
        <v>167</v>
      </c>
      <c r="P31" t="s">
        <v>168</v>
      </c>
    </row>
    <row r="32" spans="1:16">
      <c r="A32" s="1">
        <v>92</v>
      </c>
      <c r="B32" t="s">
        <v>226</v>
      </c>
      <c r="C32" t="s">
        <v>15</v>
      </c>
      <c r="D32" t="s">
        <v>21</v>
      </c>
      <c r="E32">
        <v>0.55329304396580237</v>
      </c>
      <c r="F32">
        <v>0.55241367159971799</v>
      </c>
      <c r="G32">
        <v>0.55364693446088797</v>
      </c>
      <c r="H32" s="3">
        <v>0.22275258552110785</v>
      </c>
      <c r="I32">
        <v>7.7188179492950439</v>
      </c>
      <c r="J32">
        <v>104.3574867248535</v>
      </c>
      <c r="K32">
        <v>0.55364693446087265</v>
      </c>
      <c r="L32">
        <v>48.222109000000003</v>
      </c>
      <c r="M32">
        <v>417.89945399999999</v>
      </c>
      <c r="N32">
        <v>0.86363636363636365</v>
      </c>
      <c r="O32" t="s">
        <v>172</v>
      </c>
      <c r="P32" t="s">
        <v>173</v>
      </c>
    </row>
    <row r="33" spans="1:16">
      <c r="A33" s="1">
        <v>95</v>
      </c>
      <c r="B33" t="s">
        <v>227</v>
      </c>
      <c r="C33" t="s">
        <v>15</v>
      </c>
      <c r="D33" t="s">
        <v>21</v>
      </c>
      <c r="E33">
        <v>0.55677069119546063</v>
      </c>
      <c r="F33">
        <v>0.5312720225510924</v>
      </c>
      <c r="G33">
        <v>0.54827343199436218</v>
      </c>
      <c r="H33" s="3">
        <v>3.1008997429305674</v>
      </c>
      <c r="I33">
        <v>13.17464709281921</v>
      </c>
      <c r="J33">
        <v>103.4318528175354</v>
      </c>
      <c r="K33">
        <v>0.54827343199434786</v>
      </c>
      <c r="L33">
        <v>62.294775999999999</v>
      </c>
      <c r="M33">
        <v>424.16030999999998</v>
      </c>
      <c r="N33">
        <v>0.81818181818181823</v>
      </c>
      <c r="O33" t="s">
        <v>177</v>
      </c>
      <c r="P33" t="s">
        <v>178</v>
      </c>
    </row>
    <row r="34" spans="1:16">
      <c r="A34" s="1">
        <v>98</v>
      </c>
      <c r="B34" t="s">
        <v>228</v>
      </c>
      <c r="C34" t="s">
        <v>15</v>
      </c>
      <c r="D34" t="s">
        <v>21</v>
      </c>
      <c r="E34">
        <v>0.6200114565732403</v>
      </c>
      <c r="F34">
        <v>0.60940803382663844</v>
      </c>
      <c r="G34">
        <v>0.60940803382663844</v>
      </c>
      <c r="H34" s="3">
        <v>0</v>
      </c>
      <c r="I34">
        <v>19.482355117797852</v>
      </c>
      <c r="J34">
        <v>115.72535490989689</v>
      </c>
      <c r="K34">
        <v>0.60940803382662978</v>
      </c>
      <c r="L34">
        <v>65.233610999999996</v>
      </c>
      <c r="M34">
        <v>394.244236</v>
      </c>
      <c r="N34">
        <v>0.67567567567567566</v>
      </c>
      <c r="O34" t="s">
        <v>183</v>
      </c>
      <c r="P34" t="s">
        <v>184</v>
      </c>
    </row>
    <row r="35" spans="1:16">
      <c r="A35" s="1">
        <v>101</v>
      </c>
      <c r="B35" t="s">
        <v>229</v>
      </c>
      <c r="C35" t="s">
        <v>15</v>
      </c>
      <c r="D35" t="s">
        <v>21</v>
      </c>
      <c r="E35">
        <v>0.60875245157719093</v>
      </c>
      <c r="F35">
        <v>0.60835095137420714</v>
      </c>
      <c r="G35">
        <v>0.60835095137420714</v>
      </c>
      <c r="H35" s="3">
        <v>0</v>
      </c>
      <c r="I35">
        <v>43.448388814926147</v>
      </c>
      <c r="J35">
        <v>92.211967468261719</v>
      </c>
      <c r="K35">
        <v>0.60835095137419837</v>
      </c>
      <c r="L35">
        <v>57.845025999999997</v>
      </c>
      <c r="M35">
        <v>367.80238500000002</v>
      </c>
      <c r="N35">
        <v>0.73809523809523814</v>
      </c>
      <c r="O35" t="s">
        <v>189</v>
      </c>
      <c r="P35" t="s">
        <v>190</v>
      </c>
    </row>
    <row r="36" spans="1:16">
      <c r="A36" s="1">
        <v>104</v>
      </c>
      <c r="B36" t="s">
        <v>230</v>
      </c>
      <c r="C36" t="s">
        <v>15</v>
      </c>
      <c r="D36" t="s">
        <v>21</v>
      </c>
      <c r="E36">
        <v>0.5102723158587279</v>
      </c>
      <c r="F36">
        <v>0.50176180408738547</v>
      </c>
      <c r="G36">
        <v>0.50176180408738547</v>
      </c>
      <c r="H36" s="3">
        <v>0</v>
      </c>
      <c r="I36">
        <v>32.629940986633301</v>
      </c>
      <c r="J36">
        <v>91.600391387939453</v>
      </c>
      <c r="K36">
        <v>0.50176180408737137</v>
      </c>
      <c r="L36">
        <v>55.079278000000002</v>
      </c>
      <c r="M36">
        <v>377.47987499999999</v>
      </c>
      <c r="N36">
        <v>0.97297297297297303</v>
      </c>
      <c r="O36" t="s">
        <v>194</v>
      </c>
      <c r="P36" t="s">
        <v>195</v>
      </c>
    </row>
    <row r="37" spans="1:16">
      <c r="G37" t="s">
        <v>237</v>
      </c>
      <c r="H37" s="1" t="s">
        <v>6</v>
      </c>
      <c r="I37" s="1" t="s">
        <v>7</v>
      </c>
      <c r="J37" s="1" t="s">
        <v>8</v>
      </c>
      <c r="K37" s="1" t="s">
        <v>9</v>
      </c>
      <c r="L37" s="1" t="s">
        <v>10</v>
      </c>
      <c r="M37" s="1" t="s">
        <v>11</v>
      </c>
      <c r="N37" s="1" t="s">
        <v>12</v>
      </c>
    </row>
    <row r="38" spans="1:16">
      <c r="G38" t="s">
        <v>232</v>
      </c>
      <c r="H38" s="3">
        <f>AVERAGE(H2:H36)</f>
        <v>0.4365694794833988</v>
      </c>
      <c r="I38" s="3">
        <f t="shared" ref="I38:N38" si="0">AVERAGE(I2:I36)</f>
        <v>17.312185198920115</v>
      </c>
      <c r="J38" s="3">
        <f t="shared" si="0"/>
        <v>110.27883654321943</v>
      </c>
      <c r="K38" s="3">
        <f t="shared" si="0"/>
        <v>0.5498625792811711</v>
      </c>
      <c r="L38" s="3">
        <f t="shared" si="0"/>
        <v>58.339059028571427</v>
      </c>
      <c r="M38" s="3">
        <f t="shared" si="0"/>
        <v>447.44217468571441</v>
      </c>
      <c r="N38" s="3">
        <f t="shared" si="0"/>
        <v>0.79858355244606383</v>
      </c>
    </row>
    <row r="39" spans="1:16">
      <c r="G39" t="s">
        <v>233</v>
      </c>
      <c r="H39" s="3">
        <f>STDEV(H2:H36)</f>
        <v>1.026794686613492</v>
      </c>
      <c r="I39" s="3">
        <f t="shared" ref="I39:N39" si="1">STDEV(I2:I36)</f>
        <v>9.8682982899912162</v>
      </c>
      <c r="J39" s="3">
        <f t="shared" si="1"/>
        <v>25.092003353446962</v>
      </c>
      <c r="K39" s="3">
        <f t="shared" si="1"/>
        <v>4.4233271062919237E-2</v>
      </c>
      <c r="L39" s="3">
        <f t="shared" si="1"/>
        <v>17.573734370573987</v>
      </c>
      <c r="M39" s="3">
        <f t="shared" si="1"/>
        <v>71.215237521729946</v>
      </c>
      <c r="N39" s="3">
        <f t="shared" si="1"/>
        <v>8.3999125299536459E-2</v>
      </c>
    </row>
    <row r="40" spans="1:16">
      <c r="G40" t="s">
        <v>234</v>
      </c>
      <c r="H40" s="3">
        <f>MAX(H2:H36)</f>
        <v>3.4865834900016845</v>
      </c>
      <c r="I40" s="3">
        <f t="shared" ref="I40:N40" si="2">MAX(I2:I36)</f>
        <v>46.026676893234253</v>
      </c>
      <c r="J40" s="3">
        <f t="shared" si="2"/>
        <v>201.65899395942691</v>
      </c>
      <c r="K40" s="3">
        <f t="shared" si="2"/>
        <v>0.60940803382662978</v>
      </c>
      <c r="L40" s="3">
        <f t="shared" si="2"/>
        <v>127.36243399999999</v>
      </c>
      <c r="M40" s="3">
        <f t="shared" si="2"/>
        <v>577.26442799999995</v>
      </c>
      <c r="N40" s="3">
        <f t="shared" si="2"/>
        <v>0.97297297297297303</v>
      </c>
    </row>
    <row r="41" spans="1:16">
      <c r="G41" t="s">
        <v>235</v>
      </c>
      <c r="H41" s="3">
        <f>MIN(H2:H36)</f>
        <v>0</v>
      </c>
      <c r="I41" s="3">
        <f t="shared" ref="I41:N41" si="3">MIN(I2:I36)</f>
        <v>4.7712740898132324</v>
      </c>
      <c r="J41" s="3">
        <f t="shared" si="3"/>
        <v>83.709509134292603</v>
      </c>
      <c r="K41" s="3">
        <f t="shared" si="3"/>
        <v>0.48264622973924493</v>
      </c>
      <c r="L41" s="3">
        <f t="shared" si="3"/>
        <v>32.511254000000001</v>
      </c>
      <c r="M41" s="3">
        <f t="shared" si="3"/>
        <v>365.94486599999999</v>
      </c>
      <c r="N41" s="3">
        <f t="shared" si="3"/>
        <v>0.625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Kaan Cakiroglu</cp:lastModifiedBy>
  <cp:revision/>
  <dcterms:created xsi:type="dcterms:W3CDTF">2026-03-01T12:49:18Z</dcterms:created>
  <dcterms:modified xsi:type="dcterms:W3CDTF">2026-03-10T15:03:13Z</dcterms:modified>
  <cp:category/>
  <cp:contentStatus/>
</cp:coreProperties>
</file>